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crum" sheetId="2" state="visible" r:id="rId2"/>
    <sheet xmlns:r="http://schemas.openxmlformats.org/officeDocument/2006/relationships" name="Kanban" sheetId="3" state="visible" r:id="rId3"/>
    <sheet xmlns:r="http://schemas.openxmlformats.org/officeDocument/2006/relationships" name="Scrumban" sheetId="4" state="visible" r:id="rId4"/>
    <sheet xmlns:r="http://schemas.openxmlformats.org/officeDocument/2006/relationships" name="XP + Scrumban" sheetId="5" state="visible" r:id="rId5"/>
    <sheet xmlns:r="http://schemas.openxmlformats.org/officeDocument/2006/relationships" name="Margen bruto" sheetId="6" state="visible" r:id="rId6"/>
    <sheet xmlns:r="http://schemas.openxmlformats.org/officeDocument/2006/relationships" name="ROI por metodología" sheetId="7" state="visible" r:id="rId7"/>
    <sheet xmlns:r="http://schemas.openxmlformats.org/officeDocument/2006/relationships" name="Riesgos" sheetId="8" state="visible" r:id="rId8"/>
    <sheet xmlns:r="http://schemas.openxmlformats.org/officeDocument/2006/relationships" name="Costos adicionales" sheetId="9" state="visible" r:id="rId9"/>
    <sheet xmlns:r="http://schemas.openxmlformats.org/officeDocument/2006/relationships" name="TMAR" sheetId="10" state="visible" r:id="rId10"/>
    <sheet xmlns:r="http://schemas.openxmlformats.org/officeDocument/2006/relationships" name="ROA" sheetId="11" state="visible" r:id="rId11"/>
    <sheet xmlns:r="http://schemas.openxmlformats.org/officeDocument/2006/relationships" name="Tareas (sin XP)" sheetId="12" state="visible" r:id="rId12"/>
    <sheet xmlns:r="http://schemas.openxmlformats.org/officeDocument/2006/relationships" name="Tareas (con XP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Q 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4" borderId="1" applyAlignment="1" pivotButton="0" quotePrefix="0" xfId="0">
      <alignment horizontal="right" vertical="center"/>
    </xf>
    <xf numFmtId="10" fontId="0" fillId="4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right" vertical="center"/>
    </xf>
    <xf numFmtId="10" fontId="2" fillId="5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3" fontId="2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8" customWidth="1" min="3" max="3"/>
    <col width="18" customWidth="1" min="4" max="4"/>
  </cols>
  <sheetData>
    <row r="1" ht="22" customHeight="1">
      <c r="A1" s="1" t="inlineStr">
        <is>
          <t>INPUTS CENTRALIZADOS — UVG Admon. Proyectos TI</t>
        </is>
      </c>
      <c r="B1" s="2" t="n"/>
      <c r="C1" s="3" t="n"/>
    </row>
    <row r="3">
      <c r="A3" s="4" t="inlineStr">
        <is>
          <t>1. Parámetros del proyecto</t>
        </is>
      </c>
    </row>
    <row r="4">
      <c r="A4" s="5" t="inlineStr">
        <is>
          <t>Cantidad total de personas (Scrum/Scrumban/Kanban)</t>
        </is>
      </c>
      <c r="B4" s="6" t="n">
        <v>5</v>
      </c>
    </row>
    <row r="5">
      <c r="A5" s="5" t="inlineStr">
        <is>
          <t>Cantidad total de personas (XP + Scrumban)</t>
        </is>
      </c>
      <c r="B5" s="6" t="n">
        <v>6</v>
      </c>
    </row>
    <row r="6">
      <c r="A6" s="5" t="inlineStr">
        <is>
          <t>Cantidad total de épicas</t>
        </is>
      </c>
      <c r="B6" s="6" t="n">
        <v>6</v>
      </c>
    </row>
    <row r="7">
      <c r="A7" s="5" t="inlineStr">
        <is>
          <t>Cantidad total de historias</t>
        </is>
      </c>
      <c r="B7" s="6" t="n">
        <v>32</v>
      </c>
    </row>
    <row r="8">
      <c r="A8" s="5" t="inlineStr">
        <is>
          <t>Cantidad total de puntos de historia</t>
        </is>
      </c>
      <c r="B8" s="6" t="n">
        <v>121</v>
      </c>
    </row>
    <row r="9">
      <c r="A9" s="5" t="inlineStr">
        <is>
          <t>Cantidad total de tareas</t>
        </is>
      </c>
      <c r="B9" s="6" t="n">
        <v>133</v>
      </c>
    </row>
    <row r="10">
      <c r="A10" s="5" t="inlineStr">
        <is>
          <t>Tiempo de duración atómica sprint (días)</t>
        </is>
      </c>
      <c r="B10" s="6" t="n">
        <v>10</v>
      </c>
    </row>
    <row r="11">
      <c r="A11" s="5" t="inlineStr">
        <is>
          <t>Días laborales por mes</t>
        </is>
      </c>
      <c r="B11" s="6" t="n">
        <v>20</v>
      </c>
    </row>
    <row r="12">
      <c r="A12" s="5" t="inlineStr">
        <is>
          <t>Holgura estándar (Scrum/Kanban/Scrumban)</t>
        </is>
      </c>
      <c r="B12" s="7" t="n">
        <v>0.25</v>
      </c>
    </row>
    <row r="13">
      <c r="A13" s="5" t="inlineStr">
        <is>
          <t>Holgura XP + Scrumban</t>
        </is>
      </c>
      <c r="B13" s="7" t="n">
        <v>0.1</v>
      </c>
    </row>
    <row r="14">
      <c r="A14" s="5" t="inlineStr">
        <is>
          <t>Porcentaje de ganancia (margen) estándar</t>
        </is>
      </c>
      <c r="B14" s="7" t="n">
        <v>0.35</v>
      </c>
    </row>
    <row r="15">
      <c r="A15" s="5" t="inlineStr">
        <is>
          <t>Porcentaje de ganancia (margen) XP</t>
        </is>
      </c>
      <c r="B15" s="7" t="n">
        <v>0.35</v>
      </c>
    </row>
    <row r="16">
      <c r="A16" s="5" t="inlineStr">
        <is>
          <t>PBID (porción Build comprometida)</t>
        </is>
      </c>
      <c r="B16" s="7" t="n">
        <v>0.8</v>
      </c>
    </row>
    <row r="17">
      <c r="A17" s="5" t="inlineStr">
        <is>
          <t>PROM (porción Run reactiva)</t>
        </is>
      </c>
      <c r="B17" s="7" t="n">
        <v>0.2</v>
      </c>
    </row>
    <row r="20">
      <c r="A20" s="4" t="inlineStr">
        <is>
          <t>2. Equipo cliente (Scrum / Kanban / Scrumban)</t>
        </is>
      </c>
    </row>
    <row r="21">
      <c r="A21" s="1" t="inlineStr">
        <is>
          <t>Rol</t>
        </is>
      </c>
      <c r="B21" s="1" t="inlineStr">
        <is>
          <t>FTE</t>
        </is>
      </c>
      <c r="C21" s="1" t="inlineStr">
        <is>
          <t>Salario mensual</t>
        </is>
      </c>
      <c r="D21" s="1" t="inlineStr">
        <is>
          <t>Costo mensual</t>
        </is>
      </c>
    </row>
    <row r="22">
      <c r="A22" s="5" t="inlineStr">
        <is>
          <t>Product Owner</t>
        </is>
      </c>
      <c r="B22" s="8" t="n">
        <v>1</v>
      </c>
      <c r="C22" s="9" t="n">
        <v>15000</v>
      </c>
      <c r="D22" s="10">
        <f>B22*C22</f>
        <v/>
      </c>
    </row>
    <row r="23">
      <c r="A23" s="5" t="inlineStr">
        <is>
          <t>Scrum Master</t>
        </is>
      </c>
      <c r="B23" s="8" t="n">
        <v>1</v>
      </c>
      <c r="C23" s="9" t="n">
        <v>13500</v>
      </c>
      <c r="D23" s="10">
        <f>B23*C23</f>
        <v/>
      </c>
    </row>
    <row r="24">
      <c r="A24" s="5" t="inlineStr">
        <is>
          <t>Developer Senior</t>
        </is>
      </c>
      <c r="B24" s="8" t="n">
        <v>1</v>
      </c>
      <c r="C24" s="9" t="n">
        <v>12904</v>
      </c>
      <c r="D24" s="10">
        <f>B24*C24</f>
        <v/>
      </c>
    </row>
    <row r="25">
      <c r="A25" s="5" t="inlineStr">
        <is>
          <t>Developer Senior</t>
        </is>
      </c>
      <c r="B25" s="8" t="n">
        <v>1</v>
      </c>
      <c r="C25" s="9" t="n">
        <v>12904</v>
      </c>
      <c r="D25" s="10">
        <f>B25*C25</f>
        <v/>
      </c>
    </row>
    <row r="26">
      <c r="A26" s="5" t="inlineStr">
        <is>
          <t>Developer Senior</t>
        </is>
      </c>
      <c r="B26" s="8" t="n">
        <v>1</v>
      </c>
      <c r="C26" s="9" t="n">
        <v>12904</v>
      </c>
      <c r="D26" s="10">
        <f>B26*C26</f>
        <v/>
      </c>
    </row>
    <row r="27">
      <c r="A27" s="11" t="inlineStr">
        <is>
          <t>Suma costo mensual cliente</t>
        </is>
      </c>
      <c r="D27" s="12">
        <f>SUM(D22:D26)</f>
        <v/>
      </c>
    </row>
    <row r="29">
      <c r="A29" s="4" t="inlineStr">
        <is>
          <t>3. Equipo interno (Scrum / Kanban / Scrumban)</t>
        </is>
      </c>
    </row>
    <row r="30">
      <c r="A30" s="1" t="inlineStr">
        <is>
          <t>Rol</t>
        </is>
      </c>
      <c r="B30" s="1" t="inlineStr">
        <is>
          <t>FTE</t>
        </is>
      </c>
      <c r="C30" s="1" t="inlineStr">
        <is>
          <t>Salario mensual</t>
        </is>
      </c>
      <c r="D30" s="1" t="inlineStr">
        <is>
          <t>Costo mensual</t>
        </is>
      </c>
    </row>
    <row r="31">
      <c r="A31" s="5" t="inlineStr">
        <is>
          <t>Product Owner</t>
        </is>
      </c>
      <c r="B31" s="8" t="n">
        <v>0.7</v>
      </c>
      <c r="C31" s="9" t="n">
        <v>15000</v>
      </c>
      <c r="D31" s="10">
        <f>B31*C31</f>
        <v/>
      </c>
    </row>
    <row r="32">
      <c r="A32" s="5" t="inlineStr">
        <is>
          <t>Scrum Master</t>
        </is>
      </c>
      <c r="B32" s="8" t="n">
        <v>1</v>
      </c>
      <c r="C32" s="9" t="n">
        <v>13500</v>
      </c>
      <c r="D32" s="10">
        <f>B32*C32</f>
        <v/>
      </c>
    </row>
    <row r="33">
      <c r="A33" s="5" t="inlineStr">
        <is>
          <t>Developer Senior</t>
        </is>
      </c>
      <c r="B33" s="8" t="n">
        <v>1</v>
      </c>
      <c r="C33" s="9" t="n">
        <v>12904</v>
      </c>
      <c r="D33" s="10">
        <f>B33*C33</f>
        <v/>
      </c>
    </row>
    <row r="34">
      <c r="A34" s="5" t="inlineStr">
        <is>
          <t>Developer Senior</t>
        </is>
      </c>
      <c r="B34" s="8" t="n">
        <v>1</v>
      </c>
      <c r="C34" s="9" t="n">
        <v>12904</v>
      </c>
      <c r="D34" s="10">
        <f>B34*C34</f>
        <v/>
      </c>
    </row>
    <row r="35">
      <c r="A35" s="5" t="inlineStr">
        <is>
          <t>Developer Senior</t>
        </is>
      </c>
      <c r="B35" s="8" t="n">
        <v>1</v>
      </c>
      <c r="C35" s="9" t="n">
        <v>12904</v>
      </c>
      <c r="D35" s="10">
        <f>B35*C35</f>
        <v/>
      </c>
    </row>
    <row r="36">
      <c r="A36" s="11" t="inlineStr">
        <is>
          <t>Suma costo mensual interno</t>
        </is>
      </c>
      <c r="D36" s="12">
        <f>SUM(D31:D35)</f>
        <v/>
      </c>
    </row>
    <row r="38">
      <c r="A38" s="4" t="inlineStr">
        <is>
          <t>4. Equipo XP + Scrumban (cliente)</t>
        </is>
      </c>
    </row>
    <row r="39">
      <c r="A39" s="1" t="inlineStr">
        <is>
          <t>Rol</t>
        </is>
      </c>
      <c r="B39" s="1" t="inlineStr">
        <is>
          <t>FTE</t>
        </is>
      </c>
      <c r="C39" s="1" t="inlineStr">
        <is>
          <t>Salario mensual</t>
        </is>
      </c>
      <c r="D39" s="1" t="inlineStr">
        <is>
          <t>Costo mensual</t>
        </is>
      </c>
    </row>
    <row r="40">
      <c r="A40" s="5" t="inlineStr">
        <is>
          <t>Coach</t>
        </is>
      </c>
      <c r="B40" s="8" t="n">
        <v>1</v>
      </c>
      <c r="C40" s="9" t="n">
        <v>15000</v>
      </c>
      <c r="D40" s="10">
        <f>B40*C40</f>
        <v/>
      </c>
    </row>
    <row r="41">
      <c r="A41" s="5" t="inlineStr">
        <is>
          <t>Tracker / Tester</t>
        </is>
      </c>
      <c r="B41" s="8" t="n">
        <v>1</v>
      </c>
      <c r="C41" s="9" t="n">
        <v>13500</v>
      </c>
      <c r="D41" s="10">
        <f>B41*C41</f>
        <v/>
      </c>
    </row>
    <row r="42">
      <c r="A42" s="5" t="inlineStr">
        <is>
          <t>Developer Senior</t>
        </is>
      </c>
      <c r="B42" s="8" t="n">
        <v>1</v>
      </c>
      <c r="C42" s="9" t="n">
        <v>12904</v>
      </c>
      <c r="D42" s="10">
        <f>B42*C42</f>
        <v/>
      </c>
    </row>
    <row r="43">
      <c r="A43" s="5" t="inlineStr">
        <is>
          <t>Developer Senior</t>
        </is>
      </c>
      <c r="B43" s="8" t="n">
        <v>1</v>
      </c>
      <c r="C43" s="9" t="n">
        <v>12904</v>
      </c>
      <c r="D43" s="10">
        <f>B43*C43</f>
        <v/>
      </c>
    </row>
    <row r="44">
      <c r="A44" s="5" t="inlineStr">
        <is>
          <t>Developer Junior</t>
        </is>
      </c>
      <c r="B44" s="8" t="n">
        <v>1</v>
      </c>
      <c r="C44" s="9" t="n">
        <v>9000</v>
      </c>
      <c r="D44" s="10">
        <f>B44*C44</f>
        <v/>
      </c>
    </row>
    <row r="45">
      <c r="A45" s="5" t="inlineStr">
        <is>
          <t>Developer Junior</t>
        </is>
      </c>
      <c r="B45" s="8" t="n">
        <v>1</v>
      </c>
      <c r="C45" s="9" t="n">
        <v>9000</v>
      </c>
      <c r="D45" s="10">
        <f>B45*C45</f>
        <v/>
      </c>
    </row>
    <row r="46">
      <c r="A46" s="11" t="inlineStr">
        <is>
          <t>Suma costo mensual XP cliente</t>
        </is>
      </c>
      <c r="D46" s="12">
        <f>SUM(D40:D45)</f>
        <v/>
      </c>
    </row>
    <row r="48">
      <c r="A48" s="4" t="inlineStr">
        <is>
          <t>5. Equipo XP + Scrumban (interno)</t>
        </is>
      </c>
    </row>
    <row r="49">
      <c r="A49" s="1" t="inlineStr">
        <is>
          <t>Rol</t>
        </is>
      </c>
      <c r="B49" s="1" t="inlineStr">
        <is>
          <t>FTE</t>
        </is>
      </c>
      <c r="C49" s="1" t="inlineStr">
        <is>
          <t>Salario mensual</t>
        </is>
      </c>
      <c r="D49" s="1" t="inlineStr">
        <is>
          <t>Costo mensual</t>
        </is>
      </c>
    </row>
    <row r="50">
      <c r="A50" s="5" t="inlineStr">
        <is>
          <t>Coach</t>
        </is>
      </c>
      <c r="B50" s="8" t="n">
        <v>0.7</v>
      </c>
      <c r="C50" s="9" t="n">
        <v>15000</v>
      </c>
      <c r="D50" s="10">
        <f>B50*C50</f>
        <v/>
      </c>
    </row>
    <row r="51">
      <c r="A51" s="5" t="inlineStr">
        <is>
          <t>Tracker / Tester</t>
        </is>
      </c>
      <c r="B51" s="8" t="n">
        <v>1</v>
      </c>
      <c r="C51" s="9" t="n">
        <v>13500</v>
      </c>
      <c r="D51" s="10">
        <f>B51*C51</f>
        <v/>
      </c>
    </row>
    <row r="52">
      <c r="A52" s="5" t="inlineStr">
        <is>
          <t>Developer Senior</t>
        </is>
      </c>
      <c r="B52" s="8" t="n">
        <v>1</v>
      </c>
      <c r="C52" s="9" t="n">
        <v>12904</v>
      </c>
      <c r="D52" s="10">
        <f>B52*C52</f>
        <v/>
      </c>
    </row>
    <row r="53">
      <c r="A53" s="5" t="inlineStr">
        <is>
          <t>Developer Senior</t>
        </is>
      </c>
      <c r="B53" s="8" t="n">
        <v>1</v>
      </c>
      <c r="C53" s="9" t="n">
        <v>12904</v>
      </c>
      <c r="D53" s="10">
        <f>B53*C53</f>
        <v/>
      </c>
    </row>
    <row r="54">
      <c r="A54" s="5" t="inlineStr">
        <is>
          <t>Developer Junior</t>
        </is>
      </c>
      <c r="B54" s="8" t="n">
        <v>1</v>
      </c>
      <c r="C54" s="9" t="n">
        <v>9000</v>
      </c>
      <c r="D54" s="10">
        <f>B54*C54</f>
        <v/>
      </c>
    </row>
    <row r="55">
      <c r="A55" s="5" t="inlineStr">
        <is>
          <t>Developer Junior</t>
        </is>
      </c>
      <c r="B55" s="8" t="n">
        <v>1</v>
      </c>
      <c r="C55" s="9" t="n">
        <v>9000</v>
      </c>
      <c r="D55" s="10">
        <f>B55*C55</f>
        <v/>
      </c>
    </row>
    <row r="56">
      <c r="A56" s="11" t="inlineStr">
        <is>
          <t>Suma costo mensual XP interno</t>
        </is>
      </c>
      <c r="D56" s="12">
        <f>SUM(D50:D55)</f>
        <v/>
      </c>
    </row>
    <row r="58">
      <c r="A58" s="4" t="inlineStr">
        <is>
          <t>6. Parámetros específicos de Kanban</t>
        </is>
      </c>
    </row>
    <row r="59">
      <c r="A59" s="5" t="inlineStr">
        <is>
          <t>Días totales de tareas (Kanban)</t>
        </is>
      </c>
      <c r="B59" s="6" t="n">
        <v>682</v>
      </c>
    </row>
    <row r="60">
      <c r="A60" s="5" t="inlineStr">
        <is>
          <t>Número de ejecutores (Kanban)</t>
        </is>
      </c>
      <c r="B60" s="6" t="n">
        <v>4</v>
      </c>
    </row>
    <row r="61">
      <c r="A61" s="5" t="inlineStr">
        <is>
          <t>Cycle Time mínimo (días)</t>
        </is>
      </c>
      <c r="B61" s="8" t="n">
        <v>4</v>
      </c>
    </row>
    <row r="62">
      <c r="A62" s="5" t="inlineStr">
        <is>
          <t>Cycle Time máximo (días)</t>
        </is>
      </c>
      <c r="B62" s="8" t="n">
        <v>10</v>
      </c>
    </row>
    <row r="65">
      <c r="A65" s="4" t="inlineStr">
        <is>
          <t>7. Parámetros específicos de XP + Scrumban</t>
        </is>
      </c>
    </row>
    <row r="66">
      <c r="A66" s="5" t="inlineStr">
        <is>
          <t>Días totales de tareas (con XP)</t>
        </is>
      </c>
      <c r="B66" s="6" t="n">
        <v>815</v>
      </c>
    </row>
    <row r="67">
      <c r="A67" s="5" t="inlineStr">
        <is>
          <t>Número de ejecutores (XP + Scrumban)</t>
        </is>
      </c>
      <c r="B67" s="6" t="n">
        <v>2</v>
      </c>
    </row>
    <row r="68">
      <c r="A68" s="5" t="inlineStr">
        <is>
          <t>Cycle Time mínimo XP (días)</t>
        </is>
      </c>
      <c r="B68" s="8" t="n">
        <v>5</v>
      </c>
    </row>
    <row r="69">
      <c r="A69" s="5" t="inlineStr">
        <is>
          <t>Cycle Time máximo XP (días)</t>
        </is>
      </c>
      <c r="B69" s="8" t="n">
        <v>11</v>
      </c>
    </row>
    <row r="72">
      <c r="A72" s="4" t="inlineStr">
        <is>
          <t>8. TMAR (Tasa Mínima Aceptable de Rendimiento)</t>
        </is>
      </c>
    </row>
    <row r="73">
      <c r="A73" s="5" t="inlineStr">
        <is>
          <t>Inflación anual</t>
        </is>
      </c>
      <c r="B73" s="7" t="n">
        <v>0.05</v>
      </c>
    </row>
    <row r="74">
      <c r="A74" s="5" t="inlineStr">
        <is>
          <t>Prima por riesgo del proyecto</t>
        </is>
      </c>
      <c r="B74" s="7" t="n">
        <v>0.1</v>
      </c>
    </row>
    <row r="75">
      <c r="A75" s="5" t="inlineStr">
        <is>
          <t>Rendimiento mínimo esperado</t>
        </is>
      </c>
      <c r="B75" s="7" t="n">
        <v>0.2</v>
      </c>
    </row>
    <row r="76">
      <c r="A76" s="11" t="inlineStr">
        <is>
          <t>TMAR total</t>
        </is>
      </c>
      <c r="B76" s="13">
        <f>SUM(B73:B75)</f>
        <v/>
      </c>
    </row>
  </sheetData>
  <mergeCells count="9">
    <mergeCell ref="A1:C1"/>
    <mergeCell ref="A48:D48"/>
    <mergeCell ref="A20:D20"/>
    <mergeCell ref="A38:D38"/>
    <mergeCell ref="A58:C58"/>
    <mergeCell ref="A29:D29"/>
    <mergeCell ref="A3:C3"/>
    <mergeCell ref="A65:C65"/>
    <mergeCell ref="A72:C7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" customWidth="1" min="3" max="3"/>
    <col width="38" customWidth="1" min="4" max="4"/>
    <col width="18" customWidth="1" min="5" max="5"/>
  </cols>
  <sheetData>
    <row r="1" ht="22" customHeight="1">
      <c r="A1" s="1" t="inlineStr">
        <is>
          <t>Cálculo de costos — Scrum</t>
        </is>
      </c>
      <c r="B1" s="2" t="n"/>
      <c r="C1" s="2" t="n"/>
      <c r="D1" s="3" t="n"/>
    </row>
    <row r="3">
      <c r="A3" s="4" t="inlineStr">
        <is>
          <t>Vista cliente</t>
        </is>
      </c>
      <c r="D3" s="4" t="inlineStr">
        <is>
          <t>Vista interno</t>
        </is>
      </c>
    </row>
    <row r="4">
      <c r="A4" s="1" t="inlineStr">
        <is>
          <t>Concepto</t>
        </is>
      </c>
      <c r="B4" s="1" t="inlineStr">
        <is>
          <t>Valor</t>
        </is>
      </c>
      <c r="D4" s="1" t="inlineStr">
        <is>
          <t>Concepto</t>
        </is>
      </c>
      <c r="E4" s="1" t="inlineStr">
        <is>
          <t>Valor</t>
        </is>
      </c>
    </row>
    <row r="5">
      <c r="A5" s="5" t="inlineStr">
        <is>
          <t>Burn rate mensual</t>
        </is>
      </c>
      <c r="B5" s="10">
        <f>Inputs!$D$27</f>
        <v/>
      </c>
      <c r="D5" s="5" t="inlineStr">
        <is>
          <t>Burn rate mensual</t>
        </is>
      </c>
      <c r="E5" s="10">
        <f>Inputs!$D$36</f>
        <v/>
      </c>
    </row>
    <row r="6">
      <c r="A6" s="5" t="inlineStr">
        <is>
          <t>Velocidad promedio (SP/sprint)</t>
        </is>
      </c>
      <c r="B6" s="14">
        <f>ROUNDDOWN(Inputs!$B$8/Inputs!$B$6,0)</f>
        <v/>
      </c>
      <c r="D6" s="5" t="inlineStr">
        <is>
          <t>Velocidad promedio (SP/sprint)</t>
        </is>
      </c>
      <c r="E6" s="14">
        <f>ROUNDDOWN(Inputs!$B$8/Inputs!$B$6,0)</f>
        <v/>
      </c>
    </row>
    <row r="7">
      <c r="A7" s="5" t="inlineStr">
        <is>
          <t>Cantidad de sprints necesarios</t>
        </is>
      </c>
      <c r="B7" s="14">
        <f>ROUNDUP(Inputs!$B$8/B6,0)</f>
        <v/>
      </c>
      <c r="D7" s="5" t="inlineStr">
        <is>
          <t>Cantidad de sprints necesarios</t>
        </is>
      </c>
      <c r="E7" s="14">
        <f>ROUNDUP(Inputs!$B$8/E6,0)</f>
        <v/>
      </c>
    </row>
    <row r="8">
      <c r="A8" s="5" t="inlineStr">
        <is>
          <t>Cantidad de sprints con buffer</t>
        </is>
      </c>
      <c r="B8" s="14">
        <f>ROUNDUP(B7*(1+Inputs!$B$12),0)</f>
        <v/>
      </c>
      <c r="D8" s="5" t="inlineStr">
        <is>
          <t>Cantidad de sprints con buffer</t>
        </is>
      </c>
      <c r="E8" s="14">
        <f>ROUNDUP(E7*(1+Inputs!$B$12),0)</f>
        <v/>
      </c>
    </row>
    <row r="9">
      <c r="A9" s="5" t="inlineStr">
        <is>
          <t>Duración estimada (días)</t>
        </is>
      </c>
      <c r="B9" s="14">
        <f>B7*Inputs!$B$10</f>
        <v/>
      </c>
      <c r="D9" s="5" t="inlineStr">
        <is>
          <t>Duración estimada (días)</t>
        </is>
      </c>
      <c r="E9" s="14">
        <f>E7*Inputs!$B$10</f>
        <v/>
      </c>
    </row>
    <row r="10">
      <c r="A10" s="5" t="inlineStr">
        <is>
          <t>Duración con buffer (días)</t>
        </is>
      </c>
      <c r="B10" s="14">
        <f>B8*Inputs!$B$10</f>
        <v/>
      </c>
      <c r="D10" s="5" t="inlineStr">
        <is>
          <t>Duración con buffer (días)</t>
        </is>
      </c>
      <c r="E10" s="14">
        <f>E8*Inputs!$B$10</f>
        <v/>
      </c>
    </row>
    <row r="11">
      <c r="A11" s="5" t="inlineStr">
        <is>
          <t>Costo por sprint</t>
        </is>
      </c>
      <c r="B11" s="10">
        <f>B5*(Inputs!$B$10/Inputs!$B$11)</f>
        <v/>
      </c>
      <c r="D11" s="5" t="inlineStr">
        <is>
          <t>Costo por sprint</t>
        </is>
      </c>
      <c r="E11" s="10">
        <f>E5*(Inputs!$B$10/Inputs!$B$11)</f>
        <v/>
      </c>
    </row>
    <row r="12">
      <c r="A12" s="5" t="inlineStr">
        <is>
          <t>Costo equipo del proyecto</t>
        </is>
      </c>
      <c r="B12" s="10">
        <f>B11*B7</f>
        <v/>
      </c>
      <c r="D12" s="5" t="inlineStr">
        <is>
          <t>Costo equipo del proyecto</t>
        </is>
      </c>
      <c r="E12" s="10">
        <f>E11*E7</f>
        <v/>
      </c>
    </row>
    <row r="13">
      <c r="A13" s="5" t="inlineStr">
        <is>
          <t>Costo equipo (con buffer)</t>
        </is>
      </c>
      <c r="B13" s="10">
        <f>B11*B8</f>
        <v/>
      </c>
      <c r="D13" s="5" t="inlineStr">
        <is>
          <t>Costo equipo (con buffer)</t>
        </is>
      </c>
      <c r="E13" s="10">
        <f>E11*E8</f>
        <v/>
      </c>
    </row>
    <row r="15">
      <c r="A15" s="4" t="inlineStr">
        <is>
          <t>Cálculo del precio cliente (patrón curso)</t>
        </is>
      </c>
    </row>
    <row r="16">
      <c r="A16" s="1" t="inlineStr">
        <is>
          <t>Concepto</t>
        </is>
      </c>
      <c r="B16" s="1" t="inlineStr">
        <is>
          <t>Vista cliente</t>
        </is>
      </c>
      <c r="D16" s="1" t="inlineStr">
        <is>
          <t>Concepto</t>
        </is>
      </c>
      <c r="E16" s="1" t="inlineStr">
        <is>
          <t>Vista interno</t>
        </is>
      </c>
    </row>
    <row r="17">
      <c r="A17" s="5" t="inlineStr">
        <is>
          <t>Costo equipo (con buffer)</t>
        </is>
      </c>
      <c r="B17" s="10">
        <f>B13</f>
        <v/>
      </c>
      <c r="D17" s="5" t="inlineStr">
        <is>
          <t>Costo equipo (con buffer)</t>
        </is>
      </c>
      <c r="E17" s="10">
        <f>E13</f>
        <v/>
      </c>
    </row>
    <row r="18">
      <c r="A18" s="5" t="inlineStr">
        <is>
          <t>(+) Costos adicionales</t>
        </is>
      </c>
      <c r="B18" s="10">
        <f>'Costos adicionales'!$B$12</f>
        <v/>
      </c>
      <c r="D18" s="5" t="inlineStr">
        <is>
          <t>(+) Costos adicionales</t>
        </is>
      </c>
      <c r="E18" s="10">
        <f>'Costos adicionales'!$B$12</f>
        <v/>
      </c>
    </row>
    <row r="19">
      <c r="A19" s="5" t="inlineStr">
        <is>
          <t>(+) Reserva de riesgos (Σ EMV)</t>
        </is>
      </c>
      <c r="B19" s="10">
        <f>Riesgos!$J$13</f>
        <v/>
      </c>
      <c r="D19" s="5" t="inlineStr">
        <is>
          <t>(+) Reserva de riesgos (Σ EMV)</t>
        </is>
      </c>
      <c r="E19" s="10">
        <f>Riesgos!$J$13</f>
        <v/>
      </c>
    </row>
    <row r="20">
      <c r="A20" s="11" t="inlineStr">
        <is>
          <t>(=) Presupuesto con riesgos (inversión)</t>
        </is>
      </c>
      <c r="B20" s="12">
        <f>B17+B18+B19</f>
        <v/>
      </c>
      <c r="D20" s="11" t="inlineStr">
        <is>
          <t>(=) Presupuesto con riesgos (inversión)</t>
        </is>
      </c>
      <c r="E20" s="12">
        <f>E17+E18+E19</f>
        <v/>
      </c>
    </row>
    <row r="21">
      <c r="A21" s="5" t="inlineStr">
        <is>
          <t>Margen de ganancia (entrada)</t>
        </is>
      </c>
      <c r="B21" s="15">
        <f>Inputs!$B$14</f>
        <v/>
      </c>
      <c r="D21" s="5" t="inlineStr">
        <is>
          <t>Margen de ganancia (entrada)</t>
        </is>
      </c>
      <c r="E21" s="15">
        <f>Inputs!$B$14</f>
        <v/>
      </c>
    </row>
    <row r="22">
      <c r="A22" s="11" t="inlineStr">
        <is>
          <t>Precio cliente = Inversión/(1-margen)</t>
        </is>
      </c>
      <c r="B22" s="12">
        <f>B20/(1-B21)</f>
        <v/>
      </c>
      <c r="D22" s="11" t="inlineStr">
        <is>
          <t>Precio cliente = Inversión/(1-margen)</t>
        </is>
      </c>
      <c r="E22" s="12">
        <f>E20/(1-E21)</f>
        <v/>
      </c>
    </row>
    <row r="23">
      <c r="A23" s="5" t="inlineStr">
        <is>
          <t>Precio cliente redondeado (CEILING 1000)</t>
        </is>
      </c>
      <c r="B23" s="10">
        <f>ROUNDUP(B22,-3)</f>
        <v/>
      </c>
      <c r="D23" s="5" t="inlineStr">
        <is>
          <t>Precio cliente redondeado (CEILING 1000)</t>
        </is>
      </c>
      <c r="E23" s="10">
        <f>ROUNDUP(E22,-3)</f>
        <v/>
      </c>
    </row>
    <row r="24">
      <c r="A24" s="5" t="inlineStr">
        <is>
          <t>Beneficio neto = Precio − Inversión</t>
        </is>
      </c>
      <c r="B24" s="10">
        <f>B22-B20</f>
        <v/>
      </c>
      <c r="D24" s="5" t="inlineStr">
        <is>
          <t>Beneficio neto = Precio − Inversión</t>
        </is>
      </c>
      <c r="E24" s="10">
        <f>E22-E20</f>
        <v/>
      </c>
    </row>
    <row r="25">
      <c r="A25" s="5" t="inlineStr">
        <is>
          <t>ROI = Beneficio neto / Inversión</t>
        </is>
      </c>
      <c r="B25" s="15">
        <f>B24/B20</f>
        <v/>
      </c>
      <c r="D25" s="5" t="inlineStr">
        <is>
          <t>ROI = Beneficio neto / Inversión</t>
        </is>
      </c>
      <c r="E25" s="15">
        <f>E24/E20</f>
        <v/>
      </c>
    </row>
    <row r="26">
      <c r="A26" s="5" t="inlineStr">
        <is>
          <t>Margen bruto absoluto (Precio − Costo)</t>
        </is>
      </c>
      <c r="B26" s="10">
        <f>B22-B20</f>
        <v/>
      </c>
      <c r="D26" s="5" t="inlineStr">
        <is>
          <t>Margen bruto absoluto (Precio − Costo)</t>
        </is>
      </c>
      <c r="E26" s="10">
        <f>E22-E20</f>
        <v/>
      </c>
    </row>
    <row r="27">
      <c r="A27" s="5" t="inlineStr">
        <is>
          <t>Margen bruto % (inversa)</t>
        </is>
      </c>
      <c r="B27" s="15">
        <f>B26/B22</f>
        <v/>
      </c>
      <c r="D27" s="5" t="inlineStr">
        <is>
          <t>Margen bruto % (inversa)</t>
        </is>
      </c>
      <c r="E27" s="15">
        <f>E26/E22</f>
        <v/>
      </c>
    </row>
  </sheetData>
  <mergeCells count="4">
    <mergeCell ref="A1:D1"/>
    <mergeCell ref="D3:E3"/>
    <mergeCell ref="A3:B3"/>
    <mergeCell ref="A15:E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" customWidth="1" min="3" max="3"/>
    <col width="38" customWidth="1" min="4" max="4"/>
    <col width="18" customWidth="1" min="5" max="5"/>
  </cols>
  <sheetData>
    <row r="1" ht="22" customHeight="1">
      <c r="A1" s="1" t="inlineStr">
        <is>
          <t>Cálculo de costos — Kanban</t>
        </is>
      </c>
      <c r="B1" s="2" t="n"/>
      <c r="C1" s="2" t="n"/>
      <c r="D1" s="3" t="n"/>
    </row>
    <row r="3">
      <c r="A3" s="4" t="inlineStr">
        <is>
          <t>Vista cliente</t>
        </is>
      </c>
      <c r="D3" s="4" t="inlineStr">
        <is>
          <t>Vista interno</t>
        </is>
      </c>
    </row>
    <row r="4">
      <c r="A4" s="1" t="inlineStr">
        <is>
          <t>Concepto</t>
        </is>
      </c>
      <c r="B4" s="1" t="inlineStr">
        <is>
          <t>Valor</t>
        </is>
      </c>
      <c r="D4" s="1" t="inlineStr">
        <is>
          <t>Concepto</t>
        </is>
      </c>
      <c r="E4" s="1" t="inlineStr">
        <is>
          <t>Valor</t>
        </is>
      </c>
    </row>
    <row r="5">
      <c r="A5" s="5" t="inlineStr">
        <is>
          <t>Burn rate mensual</t>
        </is>
      </c>
      <c r="B5" s="10">
        <f>Inputs!$D$27</f>
        <v/>
      </c>
      <c r="D5" s="5" t="inlineStr">
        <is>
          <t>Burn rate mensual</t>
        </is>
      </c>
      <c r="E5" s="10">
        <f>Inputs!$D$36</f>
        <v/>
      </c>
    </row>
    <row r="6">
      <c r="A6" s="5" t="inlineStr">
        <is>
          <t>Días totales de tareas</t>
        </is>
      </c>
      <c r="B6" s="14">
        <f>Inputs!$B$59</f>
        <v/>
      </c>
      <c r="D6" s="5" t="inlineStr">
        <is>
          <t>Días totales de tareas</t>
        </is>
      </c>
      <c r="E6" s="14">
        <f>Inputs!$B$59</f>
        <v/>
      </c>
    </row>
    <row r="7">
      <c r="A7" s="5" t="inlineStr">
        <is>
          <t>Número de ejecutores</t>
        </is>
      </c>
      <c r="B7" s="14">
        <f>Inputs!$B$60</f>
        <v/>
      </c>
      <c r="D7" s="5" t="inlineStr">
        <is>
          <t>Número de ejecutores</t>
        </is>
      </c>
      <c r="E7" s="14">
        <f>Inputs!$B$60</f>
        <v/>
      </c>
    </row>
    <row r="8">
      <c r="A8" s="5" t="inlineStr">
        <is>
          <t>Cycle Time promedio (días/tarea)</t>
        </is>
      </c>
      <c r="B8" s="16">
        <f>B6/Inputs!$B$9</f>
        <v/>
      </c>
      <c r="D8" s="5" t="inlineStr">
        <is>
          <t>Cycle Time promedio (días/tarea)</t>
        </is>
      </c>
      <c r="E8" s="16">
        <f>E6/Inputs!$B$9</f>
        <v/>
      </c>
    </row>
    <row r="9">
      <c r="A9" s="5" t="inlineStr">
        <is>
          <t>Throughput diario (tareas/día)</t>
        </is>
      </c>
      <c r="B9" s="16">
        <f>B7/B8</f>
        <v/>
      </c>
      <c r="D9" s="5" t="inlineStr">
        <is>
          <t>Throughput diario (tareas/día)</t>
        </is>
      </c>
      <c r="E9" s="16">
        <f>E7/E8</f>
        <v/>
      </c>
    </row>
    <row r="10">
      <c r="A10" s="5" t="inlineStr">
        <is>
          <t>Throughput mensual</t>
        </is>
      </c>
      <c r="B10" s="16">
        <f>B9*Inputs!$B$11</f>
        <v/>
      </c>
      <c r="D10" s="5" t="inlineStr">
        <is>
          <t>Throughput mensual</t>
        </is>
      </c>
      <c r="E10" s="16">
        <f>E9*Inputs!$B$11</f>
        <v/>
      </c>
    </row>
    <row r="11">
      <c r="A11" s="5" t="inlineStr">
        <is>
          <t>Días operativos</t>
        </is>
      </c>
      <c r="B11" s="14">
        <f>ROUNDUP(Inputs!$B$9/B9,0)</f>
        <v/>
      </c>
      <c r="D11" s="5" t="inlineStr">
        <is>
          <t>Días operativos</t>
        </is>
      </c>
      <c r="E11" s="14">
        <f>ROUNDUP(Inputs!$B$9/E9,0)</f>
        <v/>
      </c>
    </row>
    <row r="12">
      <c r="A12" s="5" t="inlineStr">
        <is>
          <t>Meses totales</t>
        </is>
      </c>
      <c r="B12" s="14">
        <f>ROUNDUP(B11/Inputs!$B$11,0)</f>
        <v/>
      </c>
      <c r="D12" s="5" t="inlineStr">
        <is>
          <t>Meses totales</t>
        </is>
      </c>
      <c r="E12" s="14">
        <f>ROUNDUP(E11/Inputs!$B$11,0)</f>
        <v/>
      </c>
    </row>
    <row r="13">
      <c r="A13" s="5" t="inlineStr">
        <is>
          <t>Días operativos (buffer)</t>
        </is>
      </c>
      <c r="B13" s="14">
        <f>ROUNDUP(B11*(1+Inputs!$B$12),0)</f>
        <v/>
      </c>
      <c r="D13" s="5" t="inlineStr">
        <is>
          <t>Días operativos (buffer)</t>
        </is>
      </c>
      <c r="E13" s="14">
        <f>ROUNDUP(E11*(1+Inputs!$B$12),0)</f>
        <v/>
      </c>
    </row>
    <row r="14">
      <c r="A14" s="5" t="inlineStr">
        <is>
          <t>Meses totales (buffer)</t>
        </is>
      </c>
      <c r="B14" s="14">
        <f>ROUNDUP(B13/Inputs!$B$11,0)</f>
        <v/>
      </c>
      <c r="D14" s="5" t="inlineStr">
        <is>
          <t>Meses totales (buffer)</t>
        </is>
      </c>
      <c r="E14" s="14">
        <f>ROUNDUP(E13/Inputs!$B$11,0)</f>
        <v/>
      </c>
    </row>
    <row r="15">
      <c r="A15" s="5" t="inlineStr">
        <is>
          <t>Costo equipo del proyecto</t>
        </is>
      </c>
      <c r="B15" s="10">
        <f>B5*B12</f>
        <v/>
      </c>
      <c r="D15" s="5" t="inlineStr">
        <is>
          <t>Costo equipo del proyecto</t>
        </is>
      </c>
      <c r="E15" s="10">
        <f>E5*E12</f>
        <v/>
      </c>
    </row>
    <row r="16">
      <c r="A16" s="5" t="inlineStr">
        <is>
          <t>Costo equipo (con buffer)</t>
        </is>
      </c>
      <c r="B16" s="10">
        <f>B5*B14</f>
        <v/>
      </c>
      <c r="D16" s="5" t="inlineStr">
        <is>
          <t>Costo equipo (con buffer)</t>
        </is>
      </c>
      <c r="E16" s="10">
        <f>E5*E14</f>
        <v/>
      </c>
    </row>
    <row r="18">
      <c r="A18" s="4" t="inlineStr">
        <is>
          <t>Cálculo del precio cliente (patrón curso)</t>
        </is>
      </c>
    </row>
    <row r="19">
      <c r="A19" s="1" t="inlineStr">
        <is>
          <t>Concepto</t>
        </is>
      </c>
      <c r="B19" s="1" t="inlineStr">
        <is>
          <t>Vista cliente</t>
        </is>
      </c>
      <c r="D19" s="1" t="inlineStr">
        <is>
          <t>Concepto</t>
        </is>
      </c>
      <c r="E19" s="1" t="inlineStr">
        <is>
          <t>Vista interno</t>
        </is>
      </c>
    </row>
    <row r="20">
      <c r="A20" s="5" t="inlineStr">
        <is>
          <t>Costo equipo (con buffer)</t>
        </is>
      </c>
      <c r="B20" s="10">
        <f>B16</f>
        <v/>
      </c>
      <c r="D20" s="5" t="inlineStr">
        <is>
          <t>Costo equipo (con buffer)</t>
        </is>
      </c>
      <c r="E20" s="10">
        <f>E16</f>
        <v/>
      </c>
    </row>
    <row r="21">
      <c r="A21" s="5" t="inlineStr">
        <is>
          <t>(+) Costos adicionales</t>
        </is>
      </c>
      <c r="B21" s="10">
        <f>'Costos adicionales'!$B$24</f>
        <v/>
      </c>
      <c r="D21" s="5" t="inlineStr">
        <is>
          <t>(+) Costos adicionales</t>
        </is>
      </c>
      <c r="E21" s="10">
        <f>'Costos adicionales'!$B$24</f>
        <v/>
      </c>
    </row>
    <row r="22">
      <c r="A22" s="5" t="inlineStr">
        <is>
          <t>(+) Reserva de riesgos (Σ EMV)</t>
        </is>
      </c>
      <c r="B22" s="10">
        <f>Riesgos!$J$13</f>
        <v/>
      </c>
      <c r="D22" s="5" t="inlineStr">
        <is>
          <t>(+) Reserva de riesgos (Σ EMV)</t>
        </is>
      </c>
      <c r="E22" s="10">
        <f>Riesgos!$J$13</f>
        <v/>
      </c>
    </row>
    <row r="23">
      <c r="A23" s="11" t="inlineStr">
        <is>
          <t>(=) Presupuesto con riesgos (inversión)</t>
        </is>
      </c>
      <c r="B23" s="12">
        <f>B20+B21+B22</f>
        <v/>
      </c>
      <c r="D23" s="11" t="inlineStr">
        <is>
          <t>(=) Presupuesto con riesgos (inversión)</t>
        </is>
      </c>
      <c r="E23" s="12">
        <f>E20+E21+E22</f>
        <v/>
      </c>
    </row>
    <row r="24">
      <c r="A24" s="5" t="inlineStr">
        <is>
          <t>Margen de ganancia (entrada)</t>
        </is>
      </c>
      <c r="B24" s="15">
        <f>Inputs!$B$14</f>
        <v/>
      </c>
      <c r="D24" s="5" t="inlineStr">
        <is>
          <t>Margen de ganancia (entrada)</t>
        </is>
      </c>
      <c r="E24" s="15">
        <f>Inputs!$B$14</f>
        <v/>
      </c>
    </row>
    <row r="25">
      <c r="A25" s="11" t="inlineStr">
        <is>
          <t>Precio cliente = Inversión/(1-margen)</t>
        </is>
      </c>
      <c r="B25" s="12">
        <f>B23/(1-B24)</f>
        <v/>
      </c>
      <c r="D25" s="11" t="inlineStr">
        <is>
          <t>Precio cliente = Inversión/(1-margen)</t>
        </is>
      </c>
      <c r="E25" s="12">
        <f>E23/(1-E24)</f>
        <v/>
      </c>
    </row>
    <row r="26">
      <c r="A26" s="5" t="inlineStr">
        <is>
          <t>Precio cliente redondeado (CEILING 1000)</t>
        </is>
      </c>
      <c r="B26" s="10">
        <f>ROUNDUP(B25,-3)</f>
        <v/>
      </c>
      <c r="D26" s="5" t="inlineStr">
        <is>
          <t>Precio cliente redondeado (CEILING 1000)</t>
        </is>
      </c>
      <c r="E26" s="10">
        <f>ROUNDUP(E25,-3)</f>
        <v/>
      </c>
    </row>
    <row r="27">
      <c r="A27" s="5" t="inlineStr">
        <is>
          <t>Beneficio neto = Precio − Inversión</t>
        </is>
      </c>
      <c r="B27" s="10">
        <f>B25-B23</f>
        <v/>
      </c>
      <c r="D27" s="5" t="inlineStr">
        <is>
          <t>Beneficio neto = Precio − Inversión</t>
        </is>
      </c>
      <c r="E27" s="10">
        <f>E25-E23</f>
        <v/>
      </c>
    </row>
    <row r="28">
      <c r="A28" s="5" t="inlineStr">
        <is>
          <t>ROI = Beneficio neto / Inversión</t>
        </is>
      </c>
      <c r="B28" s="15">
        <f>B27/B23</f>
        <v/>
      </c>
      <c r="D28" s="5" t="inlineStr">
        <is>
          <t>ROI = Beneficio neto / Inversión</t>
        </is>
      </c>
      <c r="E28" s="15">
        <f>E27/E23</f>
        <v/>
      </c>
    </row>
    <row r="29">
      <c r="A29" s="5" t="inlineStr">
        <is>
          <t>Margen bruto absoluto (Precio − Costo)</t>
        </is>
      </c>
      <c r="B29" s="10">
        <f>B25-B23</f>
        <v/>
      </c>
      <c r="D29" s="5" t="inlineStr">
        <is>
          <t>Margen bruto absoluto (Precio − Costo)</t>
        </is>
      </c>
      <c r="E29" s="10">
        <f>E25-E23</f>
        <v/>
      </c>
    </row>
    <row r="30">
      <c r="A30" s="5" t="inlineStr">
        <is>
          <t>Margen bruto % (inversa)</t>
        </is>
      </c>
      <c r="B30" s="15">
        <f>B29/B25</f>
        <v/>
      </c>
      <c r="D30" s="5" t="inlineStr">
        <is>
          <t>Margen bruto % (inversa)</t>
        </is>
      </c>
      <c r="E30" s="15">
        <f>E29/E25</f>
        <v/>
      </c>
    </row>
  </sheetData>
  <mergeCells count="4">
    <mergeCell ref="A1:D1"/>
    <mergeCell ref="D3:E3"/>
    <mergeCell ref="A3:B3"/>
    <mergeCell ref="A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" customWidth="1" min="3" max="3"/>
    <col width="38" customWidth="1" min="4" max="4"/>
    <col width="18" customWidth="1" min="5" max="5"/>
  </cols>
  <sheetData>
    <row r="1" ht="22" customHeight="1">
      <c r="A1" s="1" t="inlineStr">
        <is>
          <t>Cálculo de costos — Scrumban</t>
        </is>
      </c>
      <c r="B1" s="2" t="n"/>
      <c r="C1" s="2" t="n"/>
      <c r="D1" s="3" t="n"/>
    </row>
    <row r="3">
      <c r="A3" s="4" t="inlineStr">
        <is>
          <t>Vista cliente</t>
        </is>
      </c>
      <c r="D3" s="4" t="inlineStr">
        <is>
          <t>Vista interno</t>
        </is>
      </c>
    </row>
    <row r="4">
      <c r="A4" s="1" t="inlineStr">
        <is>
          <t>Concepto</t>
        </is>
      </c>
      <c r="B4" s="1" t="inlineStr">
        <is>
          <t>Valor</t>
        </is>
      </c>
      <c r="D4" s="1" t="inlineStr">
        <is>
          <t>Concepto</t>
        </is>
      </c>
      <c r="E4" s="1" t="inlineStr">
        <is>
          <t>Valor</t>
        </is>
      </c>
    </row>
    <row r="5">
      <c r="A5" s="5" t="inlineStr">
        <is>
          <t>Burn rate mensual</t>
        </is>
      </c>
      <c r="B5" s="10">
        <f>Inputs!$D$27</f>
        <v/>
      </c>
      <c r="D5" s="5" t="inlineStr">
        <is>
          <t>Burn rate mensual</t>
        </is>
      </c>
      <c r="E5" s="10">
        <f>Inputs!$D$36</f>
        <v/>
      </c>
    </row>
    <row r="6">
      <c r="A6" s="5" t="inlineStr">
        <is>
          <t>Velocidad promedio (SP/sprint)</t>
        </is>
      </c>
      <c r="B6" s="14">
        <f>ROUNDDOWN(Inputs!$B$8/Inputs!$B$6,0)</f>
        <v/>
      </c>
      <c r="D6" s="5" t="inlineStr">
        <is>
          <t>Velocidad promedio (SP/sprint)</t>
        </is>
      </c>
      <c r="E6" s="14">
        <f>ROUNDDOWN(Inputs!$B$8/Inputs!$B$6,0)</f>
        <v/>
      </c>
    </row>
    <row r="7">
      <c r="A7" s="5" t="inlineStr">
        <is>
          <t>Cantidad de sprints necesarios</t>
        </is>
      </c>
      <c r="B7" s="14">
        <f>ROUNDUP(Inputs!$B$8/B6,0)</f>
        <v/>
      </c>
      <c r="D7" s="5" t="inlineStr">
        <is>
          <t>Cantidad de sprints necesarios</t>
        </is>
      </c>
      <c r="E7" s="14">
        <f>ROUNDUP(Inputs!$B$8/E6,0)</f>
        <v/>
      </c>
    </row>
    <row r="8">
      <c r="A8" s="5" t="inlineStr">
        <is>
          <t>Cantidad de sprints con buffer</t>
        </is>
      </c>
      <c r="B8" s="14">
        <f>ROUNDUP(B7*(1+Inputs!$B$12),0)</f>
        <v/>
      </c>
      <c r="D8" s="5" t="inlineStr">
        <is>
          <t>Cantidad de sprints con buffer</t>
        </is>
      </c>
      <c r="E8" s="14">
        <f>ROUNDUP(E7*(1+Inputs!$B$12),0)</f>
        <v/>
      </c>
    </row>
    <row r="9">
      <c r="A9" s="5" t="inlineStr">
        <is>
          <t>Duración estimada (días)</t>
        </is>
      </c>
      <c r="B9" s="14">
        <f>B7*Inputs!$B$10</f>
        <v/>
      </c>
      <c r="D9" s="5" t="inlineStr">
        <is>
          <t>Duración estimada (días)</t>
        </is>
      </c>
      <c r="E9" s="14">
        <f>E7*Inputs!$B$10</f>
        <v/>
      </c>
    </row>
    <row r="10">
      <c r="A10" s="5" t="inlineStr">
        <is>
          <t>Duración con buffer (días)</t>
        </is>
      </c>
      <c r="B10" s="14">
        <f>B8*Inputs!$B$10</f>
        <v/>
      </c>
      <c r="D10" s="5" t="inlineStr">
        <is>
          <t>Duración con buffer (días)</t>
        </is>
      </c>
      <c r="E10" s="14">
        <f>E8*Inputs!$B$10</f>
        <v/>
      </c>
    </row>
    <row r="11">
      <c r="A11" s="5" t="inlineStr">
        <is>
          <t>Costo por sprint</t>
        </is>
      </c>
      <c r="B11" s="10">
        <f>B5*(Inputs!$B$10/Inputs!$B$11)</f>
        <v/>
      </c>
      <c r="D11" s="5" t="inlineStr">
        <is>
          <t>Costo por sprint</t>
        </is>
      </c>
      <c r="E11" s="10">
        <f>E5*(Inputs!$B$10/Inputs!$B$11)</f>
        <v/>
      </c>
    </row>
    <row r="12">
      <c r="A12" s="5" t="inlineStr">
        <is>
          <t>Costo equipo del proyecto</t>
        </is>
      </c>
      <c r="B12" s="10">
        <f>B11*B7</f>
        <v/>
      </c>
      <c r="D12" s="5" t="inlineStr">
        <is>
          <t>Costo equipo del proyecto</t>
        </is>
      </c>
      <c r="E12" s="10">
        <f>E11*E7</f>
        <v/>
      </c>
    </row>
    <row r="13">
      <c r="A13" s="5" t="inlineStr">
        <is>
          <t>Costo equipo (con buffer)</t>
        </is>
      </c>
      <c r="B13" s="10">
        <f>B11*B8</f>
        <v/>
      </c>
      <c r="D13" s="5" t="inlineStr">
        <is>
          <t>Costo equipo (con buffer)</t>
        </is>
      </c>
      <c r="E13" s="10">
        <f>E11*E8</f>
        <v/>
      </c>
    </row>
    <row r="15">
      <c r="A15" s="4" t="inlineStr">
        <is>
          <t>Desglose BID / ROM (Scrumban)</t>
        </is>
      </c>
    </row>
    <row r="16">
      <c r="A16" s="1" t="inlineStr">
        <is>
          <t>Concepto</t>
        </is>
      </c>
      <c r="B16" s="1" t="inlineStr">
        <is>
          <t>Valor cliente</t>
        </is>
      </c>
      <c r="D16" s="1" t="inlineStr">
        <is>
          <t>Concepto</t>
        </is>
      </c>
      <c r="E16" s="1" t="inlineStr">
        <is>
          <t>Valor interno</t>
        </is>
      </c>
    </row>
    <row r="17">
      <c r="A17" s="5" t="inlineStr">
        <is>
          <t>PBID (80 %)</t>
        </is>
      </c>
      <c r="B17" s="15">
        <f>Inputs!$B$16</f>
        <v/>
      </c>
      <c r="D17" s="5" t="inlineStr">
        <is>
          <t>PBID (80 %)</t>
        </is>
      </c>
      <c r="E17" s="15">
        <f>Inputs!$B$16</f>
        <v/>
      </c>
    </row>
    <row r="18">
      <c r="A18" s="5" t="inlineStr">
        <is>
          <t>PROM (20 %)</t>
        </is>
      </c>
      <c r="B18" s="15">
        <f>Inputs!$B$17</f>
        <v/>
      </c>
      <c r="D18" s="5" t="inlineStr">
        <is>
          <t>PROM (20 %)</t>
        </is>
      </c>
      <c r="E18" s="15">
        <f>Inputs!$B$17</f>
        <v/>
      </c>
    </row>
    <row r="19">
      <c r="A19" s="5" t="inlineStr">
        <is>
          <t>Costo por sprint BID</t>
        </is>
      </c>
      <c r="B19" s="10">
        <f>B11*Inputs!$B$16</f>
        <v/>
      </c>
      <c r="D19" s="5" t="inlineStr">
        <is>
          <t>Costo por sprint BID</t>
        </is>
      </c>
      <c r="E19" s="10">
        <f>E11*Inputs!$B$16</f>
        <v/>
      </c>
    </row>
    <row r="20">
      <c r="A20" s="5" t="inlineStr">
        <is>
          <t>Costo por sprint ROM</t>
        </is>
      </c>
      <c r="B20" s="10">
        <f>B11*Inputs!$B$17</f>
        <v/>
      </c>
      <c r="D20" s="5" t="inlineStr">
        <is>
          <t>Costo por sprint ROM</t>
        </is>
      </c>
      <c r="E20" s="10">
        <f>E11*Inputs!$B$17</f>
        <v/>
      </c>
    </row>
    <row r="22">
      <c r="A22" s="4" t="inlineStr">
        <is>
          <t>Cálculo del precio cliente (patrón curso)</t>
        </is>
      </c>
    </row>
    <row r="23">
      <c r="A23" s="1" t="inlineStr">
        <is>
          <t>Concepto</t>
        </is>
      </c>
      <c r="B23" s="1" t="inlineStr">
        <is>
          <t>Vista cliente</t>
        </is>
      </c>
      <c r="D23" s="1" t="inlineStr">
        <is>
          <t>Concepto</t>
        </is>
      </c>
      <c r="E23" s="1" t="inlineStr">
        <is>
          <t>Vista interno</t>
        </is>
      </c>
    </row>
    <row r="24">
      <c r="A24" s="5" t="inlineStr">
        <is>
          <t>Costo equipo (con buffer)</t>
        </is>
      </c>
      <c r="B24" s="10">
        <f>B13</f>
        <v/>
      </c>
      <c r="D24" s="5" t="inlineStr">
        <is>
          <t>Costo equipo (con buffer)</t>
        </is>
      </c>
      <c r="E24" s="10">
        <f>E13</f>
        <v/>
      </c>
    </row>
    <row r="25">
      <c r="A25" s="5" t="inlineStr">
        <is>
          <t>(+) Costos adicionales</t>
        </is>
      </c>
      <c r="B25" s="10">
        <f>'Costos adicionales'!$B$12</f>
        <v/>
      </c>
      <c r="D25" s="5" t="inlineStr">
        <is>
          <t>(+) Costos adicionales</t>
        </is>
      </c>
      <c r="E25" s="10">
        <f>'Costos adicionales'!$B$12</f>
        <v/>
      </c>
    </row>
    <row r="26">
      <c r="A26" s="5" t="inlineStr">
        <is>
          <t>(+) Reserva de riesgos (Σ EMV)</t>
        </is>
      </c>
      <c r="B26" s="10">
        <f>Riesgos!$J$13</f>
        <v/>
      </c>
      <c r="D26" s="5" t="inlineStr">
        <is>
          <t>(+) Reserva de riesgos (Σ EMV)</t>
        </is>
      </c>
      <c r="E26" s="10">
        <f>Riesgos!$J$13</f>
        <v/>
      </c>
    </row>
    <row r="27">
      <c r="A27" s="11" t="inlineStr">
        <is>
          <t>(=) Presupuesto con riesgos (inversión)</t>
        </is>
      </c>
      <c r="B27" s="12">
        <f>B24+B25+B26</f>
        <v/>
      </c>
      <c r="D27" s="11" t="inlineStr">
        <is>
          <t>(=) Presupuesto con riesgos (inversión)</t>
        </is>
      </c>
      <c r="E27" s="12">
        <f>E24+E25+E26</f>
        <v/>
      </c>
    </row>
    <row r="28">
      <c r="A28" s="5" t="inlineStr">
        <is>
          <t>Margen de ganancia (entrada)</t>
        </is>
      </c>
      <c r="B28" s="15">
        <f>Inputs!$B$14</f>
        <v/>
      </c>
      <c r="D28" s="5" t="inlineStr">
        <is>
          <t>Margen de ganancia (entrada)</t>
        </is>
      </c>
      <c r="E28" s="15">
        <f>Inputs!$B$14</f>
        <v/>
      </c>
    </row>
    <row r="29">
      <c r="A29" s="11" t="inlineStr">
        <is>
          <t>Precio cliente = Inversión/(1-margen)</t>
        </is>
      </c>
      <c r="B29" s="12">
        <f>B27/(1-B28)</f>
        <v/>
      </c>
      <c r="D29" s="11" t="inlineStr">
        <is>
          <t>Precio cliente = Inversión/(1-margen)</t>
        </is>
      </c>
      <c r="E29" s="12">
        <f>E27/(1-E28)</f>
        <v/>
      </c>
    </row>
    <row r="30">
      <c r="A30" s="5" t="inlineStr">
        <is>
          <t>Precio cliente redondeado (CEILING 1000)</t>
        </is>
      </c>
      <c r="B30" s="10">
        <f>ROUNDUP(B29,-3)</f>
        <v/>
      </c>
      <c r="D30" s="5" t="inlineStr">
        <is>
          <t>Precio cliente redondeado (CEILING 1000)</t>
        </is>
      </c>
      <c r="E30" s="10">
        <f>ROUNDUP(E29,-3)</f>
        <v/>
      </c>
    </row>
    <row r="31">
      <c r="A31" s="5" t="inlineStr">
        <is>
          <t>Beneficio neto = Precio − Inversión</t>
        </is>
      </c>
      <c r="B31" s="10">
        <f>B29-B27</f>
        <v/>
      </c>
      <c r="D31" s="5" t="inlineStr">
        <is>
          <t>Beneficio neto = Precio − Inversión</t>
        </is>
      </c>
      <c r="E31" s="10">
        <f>E29-E27</f>
        <v/>
      </c>
    </row>
    <row r="32">
      <c r="A32" s="5" t="inlineStr">
        <is>
          <t>ROI = Beneficio neto / Inversión</t>
        </is>
      </c>
      <c r="B32" s="15">
        <f>B31/B27</f>
        <v/>
      </c>
      <c r="D32" s="5" t="inlineStr">
        <is>
          <t>ROI = Beneficio neto / Inversión</t>
        </is>
      </c>
      <c r="E32" s="15">
        <f>E31/E27</f>
        <v/>
      </c>
    </row>
    <row r="33">
      <c r="A33" s="5" t="inlineStr">
        <is>
          <t>Margen bruto absoluto (Precio − Costo)</t>
        </is>
      </c>
      <c r="B33" s="10">
        <f>B29-B27</f>
        <v/>
      </c>
      <c r="D33" s="5" t="inlineStr">
        <is>
          <t>Margen bruto absoluto (Precio − Costo)</t>
        </is>
      </c>
      <c r="E33" s="10">
        <f>E29-E27</f>
        <v/>
      </c>
    </row>
    <row r="34">
      <c r="A34" s="5" t="inlineStr">
        <is>
          <t>Margen bruto % (inversa)</t>
        </is>
      </c>
      <c r="B34" s="15">
        <f>B33/B29</f>
        <v/>
      </c>
      <c r="D34" s="5" t="inlineStr">
        <is>
          <t>Margen bruto % (inversa)</t>
        </is>
      </c>
      <c r="E34" s="15">
        <f>E33/E29</f>
        <v/>
      </c>
    </row>
  </sheetData>
  <mergeCells count="5">
    <mergeCell ref="A1:D1"/>
    <mergeCell ref="A15:E15"/>
    <mergeCell ref="D3:E3"/>
    <mergeCell ref="A3:B3"/>
    <mergeCell ref="A22:E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" customWidth="1" min="3" max="3"/>
    <col width="38" customWidth="1" min="4" max="4"/>
    <col width="18" customWidth="1" min="5" max="5"/>
  </cols>
  <sheetData>
    <row r="1" ht="22" customHeight="1">
      <c r="A1" s="1" t="inlineStr">
        <is>
          <t>Cálculo de costos — XP + Scrumban</t>
        </is>
      </c>
      <c r="B1" s="2" t="n"/>
      <c r="C1" s="2" t="n"/>
      <c r="D1" s="3" t="n"/>
    </row>
    <row r="3">
      <c r="A3" s="4" t="inlineStr">
        <is>
          <t>Vista cliente</t>
        </is>
      </c>
      <c r="D3" s="4" t="inlineStr">
        <is>
          <t>Vista interno</t>
        </is>
      </c>
    </row>
    <row r="4">
      <c r="A4" s="1" t="inlineStr">
        <is>
          <t>Concepto</t>
        </is>
      </c>
      <c r="B4" s="1" t="inlineStr">
        <is>
          <t>Valor</t>
        </is>
      </c>
      <c r="D4" s="1" t="inlineStr">
        <is>
          <t>Concepto</t>
        </is>
      </c>
      <c r="E4" s="1" t="inlineStr">
        <is>
          <t>Valor</t>
        </is>
      </c>
    </row>
    <row r="5">
      <c r="A5" s="5" t="inlineStr">
        <is>
          <t>Burn rate mensual</t>
        </is>
      </c>
      <c r="B5" s="10">
        <f>Inputs!$D$46</f>
        <v/>
      </c>
      <c r="D5" s="5" t="inlineStr">
        <is>
          <t>Burn rate mensual</t>
        </is>
      </c>
      <c r="E5" s="10">
        <f>Inputs!$D$56</f>
        <v/>
      </c>
    </row>
    <row r="6">
      <c r="A6" s="5" t="inlineStr">
        <is>
          <t>Velocidad promedio (SP/sprint)</t>
        </is>
      </c>
      <c r="B6" s="14">
        <f>ROUNDDOWN(Inputs!$B$8/Inputs!$B$6,0)</f>
        <v/>
      </c>
      <c r="D6" s="5" t="inlineStr">
        <is>
          <t>Velocidad promedio (SP/sprint)</t>
        </is>
      </c>
      <c r="E6" s="14">
        <f>ROUNDDOWN(Inputs!$B$8/Inputs!$B$6,0)</f>
        <v/>
      </c>
    </row>
    <row r="7">
      <c r="A7" s="5" t="inlineStr">
        <is>
          <t>Cantidad de sprints necesarios</t>
        </is>
      </c>
      <c r="B7" s="14">
        <f>ROUNDUP(Inputs!$B$8/B6,0)</f>
        <v/>
      </c>
      <c r="D7" s="5" t="inlineStr">
        <is>
          <t>Cantidad de sprints necesarios</t>
        </is>
      </c>
      <c r="E7" s="14">
        <f>ROUNDUP(Inputs!$B$8/E6,0)</f>
        <v/>
      </c>
    </row>
    <row r="8">
      <c r="A8" s="5" t="inlineStr">
        <is>
          <t>Cantidad de sprints con buffer</t>
        </is>
      </c>
      <c r="B8" s="14">
        <f>ROUNDUP(B7*(1+Inputs!$B$13),0)</f>
        <v/>
      </c>
      <c r="D8" s="5" t="inlineStr">
        <is>
          <t>Cantidad de sprints con buffer</t>
        </is>
      </c>
      <c r="E8" s="14">
        <f>ROUNDUP(E7*(1+Inputs!$B$13),0)</f>
        <v/>
      </c>
    </row>
    <row r="9">
      <c r="A9" s="5" t="inlineStr">
        <is>
          <t>Duración estimada (días)</t>
        </is>
      </c>
      <c r="B9" s="14">
        <f>B7*Inputs!$B$10</f>
        <v/>
      </c>
      <c r="D9" s="5" t="inlineStr">
        <is>
          <t>Duración estimada (días)</t>
        </is>
      </c>
      <c r="E9" s="14">
        <f>E7*Inputs!$B$10</f>
        <v/>
      </c>
    </row>
    <row r="10">
      <c r="A10" s="5" t="inlineStr">
        <is>
          <t>Duración con buffer (días)</t>
        </is>
      </c>
      <c r="B10" s="14">
        <f>B8*Inputs!$B$10</f>
        <v/>
      </c>
      <c r="D10" s="5" t="inlineStr">
        <is>
          <t>Duración con buffer (días)</t>
        </is>
      </c>
      <c r="E10" s="14">
        <f>E8*Inputs!$B$10</f>
        <v/>
      </c>
    </row>
    <row r="11">
      <c r="A11" s="5" t="inlineStr">
        <is>
          <t>Costo por sprint</t>
        </is>
      </c>
      <c r="B11" s="10">
        <f>B5*(Inputs!$B$10/Inputs!$B$11)</f>
        <v/>
      </c>
      <c r="D11" s="5" t="inlineStr">
        <is>
          <t>Costo por sprint</t>
        </is>
      </c>
      <c r="E11" s="10">
        <f>E5*(Inputs!$B$10/Inputs!$B$11)</f>
        <v/>
      </c>
    </row>
    <row r="12">
      <c r="A12" s="5" t="inlineStr">
        <is>
          <t>Costo equipo del proyecto</t>
        </is>
      </c>
      <c r="B12" s="10">
        <f>B11*B7</f>
        <v/>
      </c>
      <c r="D12" s="5" t="inlineStr">
        <is>
          <t>Costo equipo del proyecto</t>
        </is>
      </c>
      <c r="E12" s="10">
        <f>E11*E7</f>
        <v/>
      </c>
    </row>
    <row r="13">
      <c r="A13" s="5" t="inlineStr">
        <is>
          <t>Costo equipo (con buffer)</t>
        </is>
      </c>
      <c r="B13" s="10">
        <f>B11*B8</f>
        <v/>
      </c>
      <c r="D13" s="5" t="inlineStr">
        <is>
          <t>Costo equipo (con buffer)</t>
        </is>
      </c>
      <c r="E13" s="10">
        <f>E11*E8</f>
        <v/>
      </c>
    </row>
    <row r="15">
      <c r="A15" s="4" t="inlineStr">
        <is>
          <t>Desglose BID / ROM (Scrumban)</t>
        </is>
      </c>
    </row>
    <row r="16">
      <c r="A16" s="1" t="inlineStr">
        <is>
          <t>Concepto</t>
        </is>
      </c>
      <c r="B16" s="1" t="inlineStr">
        <is>
          <t>Valor cliente</t>
        </is>
      </c>
      <c r="D16" s="1" t="inlineStr">
        <is>
          <t>Concepto</t>
        </is>
      </c>
      <c r="E16" s="1" t="inlineStr">
        <is>
          <t>Valor interno</t>
        </is>
      </c>
    </row>
    <row r="17">
      <c r="A17" s="5" t="inlineStr">
        <is>
          <t>PBID (80 %)</t>
        </is>
      </c>
      <c r="B17" s="15">
        <f>Inputs!$B$16</f>
        <v/>
      </c>
      <c r="D17" s="5" t="inlineStr">
        <is>
          <t>PBID (80 %)</t>
        </is>
      </c>
      <c r="E17" s="15">
        <f>Inputs!$B$16</f>
        <v/>
      </c>
    </row>
    <row r="18">
      <c r="A18" s="5" t="inlineStr">
        <is>
          <t>PROM (20 %)</t>
        </is>
      </c>
      <c r="B18" s="15">
        <f>Inputs!$B$17</f>
        <v/>
      </c>
      <c r="D18" s="5" t="inlineStr">
        <is>
          <t>PROM (20 %)</t>
        </is>
      </c>
      <c r="E18" s="15">
        <f>Inputs!$B$17</f>
        <v/>
      </c>
    </row>
    <row r="19">
      <c r="A19" s="5" t="inlineStr">
        <is>
          <t>Costo por sprint BID</t>
        </is>
      </c>
      <c r="B19" s="10">
        <f>B11*Inputs!$B$16</f>
        <v/>
      </c>
      <c r="D19" s="5" t="inlineStr">
        <is>
          <t>Costo por sprint BID</t>
        </is>
      </c>
      <c r="E19" s="10">
        <f>E11*Inputs!$B$16</f>
        <v/>
      </c>
    </row>
    <row r="20">
      <c r="A20" s="5" t="inlineStr">
        <is>
          <t>Costo por sprint ROM</t>
        </is>
      </c>
      <c r="B20" s="10">
        <f>B11*Inputs!$B$17</f>
        <v/>
      </c>
      <c r="D20" s="5" t="inlineStr">
        <is>
          <t>Costo por sprint ROM</t>
        </is>
      </c>
      <c r="E20" s="10">
        <f>E11*Inputs!$B$17</f>
        <v/>
      </c>
    </row>
    <row r="22">
      <c r="A22" s="4" t="inlineStr">
        <is>
          <t>Cálculo del precio cliente (patrón curso)</t>
        </is>
      </c>
    </row>
    <row r="23">
      <c r="A23" s="1" t="inlineStr">
        <is>
          <t>Concepto</t>
        </is>
      </c>
      <c r="B23" s="1" t="inlineStr">
        <is>
          <t>Vista cliente</t>
        </is>
      </c>
      <c r="D23" s="1" t="inlineStr">
        <is>
          <t>Concepto</t>
        </is>
      </c>
      <c r="E23" s="1" t="inlineStr">
        <is>
          <t>Vista interno</t>
        </is>
      </c>
    </row>
    <row r="24">
      <c r="A24" s="5" t="inlineStr">
        <is>
          <t>Costo equipo (con buffer)</t>
        </is>
      </c>
      <c r="B24" s="10">
        <f>B13</f>
        <v/>
      </c>
      <c r="D24" s="5" t="inlineStr">
        <is>
          <t>Costo equipo (con buffer)</t>
        </is>
      </c>
      <c r="E24" s="10">
        <f>E13</f>
        <v/>
      </c>
    </row>
    <row r="25">
      <c r="A25" s="5" t="inlineStr">
        <is>
          <t>(+) Costos adicionales</t>
        </is>
      </c>
      <c r="B25" s="10">
        <f>'Costos adicionales'!$B$12</f>
        <v/>
      </c>
      <c r="D25" s="5" t="inlineStr">
        <is>
          <t>(+) Costos adicionales</t>
        </is>
      </c>
      <c r="E25" s="10">
        <f>'Costos adicionales'!$B$12</f>
        <v/>
      </c>
    </row>
    <row r="26">
      <c r="A26" s="5" t="inlineStr">
        <is>
          <t>(+) Reserva de riesgos (Σ EMV)</t>
        </is>
      </c>
      <c r="B26" s="10">
        <f>Riesgos!$J$13</f>
        <v/>
      </c>
      <c r="D26" s="5" t="inlineStr">
        <is>
          <t>(+) Reserva de riesgos (Σ EMV)</t>
        </is>
      </c>
      <c r="E26" s="10">
        <f>Riesgos!$J$13</f>
        <v/>
      </c>
    </row>
    <row r="27">
      <c r="A27" s="11" t="inlineStr">
        <is>
          <t>(=) Presupuesto con riesgos (inversión)</t>
        </is>
      </c>
      <c r="B27" s="12">
        <f>B24+B25+B26</f>
        <v/>
      </c>
      <c r="D27" s="11" t="inlineStr">
        <is>
          <t>(=) Presupuesto con riesgos (inversión)</t>
        </is>
      </c>
      <c r="E27" s="12">
        <f>E24+E25+E26</f>
        <v/>
      </c>
    </row>
    <row r="28">
      <c r="A28" s="5" t="inlineStr">
        <is>
          <t>Margen de ganancia (entrada)</t>
        </is>
      </c>
      <c r="B28" s="15">
        <f>Inputs!$B$15</f>
        <v/>
      </c>
      <c r="D28" s="5" t="inlineStr">
        <is>
          <t>Margen de ganancia (entrada)</t>
        </is>
      </c>
      <c r="E28" s="15">
        <f>Inputs!$B$15</f>
        <v/>
      </c>
    </row>
    <row r="29">
      <c r="A29" s="11" t="inlineStr">
        <is>
          <t>Precio cliente = Inversión/(1-margen)</t>
        </is>
      </c>
      <c r="B29" s="12">
        <f>B27/(1-B28)</f>
        <v/>
      </c>
      <c r="D29" s="11" t="inlineStr">
        <is>
          <t>Precio cliente = Inversión/(1-margen)</t>
        </is>
      </c>
      <c r="E29" s="12">
        <f>E27/(1-E28)</f>
        <v/>
      </c>
    </row>
    <row r="30">
      <c r="A30" s="5" t="inlineStr">
        <is>
          <t>Precio cliente redondeado (CEILING 1000)</t>
        </is>
      </c>
      <c r="B30" s="10">
        <f>ROUNDUP(B29,-3)</f>
        <v/>
      </c>
      <c r="D30" s="5" t="inlineStr">
        <is>
          <t>Precio cliente redondeado (CEILING 1000)</t>
        </is>
      </c>
      <c r="E30" s="10">
        <f>ROUNDUP(E29,-3)</f>
        <v/>
      </c>
    </row>
    <row r="31">
      <c r="A31" s="5" t="inlineStr">
        <is>
          <t>Beneficio neto = Precio − Inversión</t>
        </is>
      </c>
      <c r="B31" s="10">
        <f>B29-B27</f>
        <v/>
      </c>
      <c r="D31" s="5" t="inlineStr">
        <is>
          <t>Beneficio neto = Precio − Inversión</t>
        </is>
      </c>
      <c r="E31" s="10">
        <f>E29-E27</f>
        <v/>
      </c>
    </row>
    <row r="32">
      <c r="A32" s="5" t="inlineStr">
        <is>
          <t>ROI = Beneficio neto / Inversión</t>
        </is>
      </c>
      <c r="B32" s="15">
        <f>B31/B27</f>
        <v/>
      </c>
      <c r="D32" s="5" t="inlineStr">
        <is>
          <t>ROI = Beneficio neto / Inversión</t>
        </is>
      </c>
      <c r="E32" s="15">
        <f>E31/E27</f>
        <v/>
      </c>
    </row>
    <row r="33">
      <c r="A33" s="5" t="inlineStr">
        <is>
          <t>Margen bruto absoluto (Precio − Costo)</t>
        </is>
      </c>
      <c r="B33" s="10">
        <f>B29-B27</f>
        <v/>
      </c>
      <c r="D33" s="5" t="inlineStr">
        <is>
          <t>Margen bruto absoluto (Precio − Costo)</t>
        </is>
      </c>
      <c r="E33" s="10">
        <f>E29-E27</f>
        <v/>
      </c>
    </row>
    <row r="34">
      <c r="A34" s="5" t="inlineStr">
        <is>
          <t>Margen bruto % (inversa)</t>
        </is>
      </c>
      <c r="B34" s="15">
        <f>B33/B29</f>
        <v/>
      </c>
      <c r="D34" s="5" t="inlineStr">
        <is>
          <t>Margen bruto % (inversa)</t>
        </is>
      </c>
      <c r="E34" s="15">
        <f>E33/E29</f>
        <v/>
      </c>
    </row>
  </sheetData>
  <mergeCells count="5">
    <mergeCell ref="A1:D1"/>
    <mergeCell ref="A15:E15"/>
    <mergeCell ref="D3:E3"/>
    <mergeCell ref="A3:B3"/>
    <mergeCell ref="A22:E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</cols>
  <sheetData>
    <row r="1">
      <c r="A1" s="1" t="inlineStr">
        <is>
          <t>Margen bruto por metodología (debe coincidir con el margen de entrada)</t>
        </is>
      </c>
      <c r="B1" s="2" t="n"/>
      <c r="C1" s="2" t="n"/>
      <c r="D1" s="2" t="n"/>
      <c r="E1" s="3" t="n"/>
    </row>
    <row r="3">
      <c r="A3" s="1" t="inlineStr">
        <is>
          <t>Metodología</t>
        </is>
      </c>
      <c r="B3" s="1" t="inlineStr">
        <is>
          <t>Precio cliente</t>
        </is>
      </c>
      <c r="C3" s="1" t="inlineStr">
        <is>
          <t>Inversión</t>
        </is>
      </c>
      <c r="D3" s="1" t="inlineStr">
        <is>
          <t>Margen bruto absoluto</t>
        </is>
      </c>
      <c r="E3" s="1" t="inlineStr">
        <is>
          <t>% Margen (inversa)</t>
        </is>
      </c>
    </row>
    <row r="4">
      <c r="A4" s="5" t="inlineStr">
        <is>
          <t>Scrum</t>
        </is>
      </c>
      <c r="B4" s="10">
        <f>'Scrum'!B22</f>
        <v/>
      </c>
      <c r="C4" s="10">
        <f>'Scrum'!B20</f>
        <v/>
      </c>
      <c r="D4" s="10">
        <f>B4-C4</f>
        <v/>
      </c>
      <c r="E4" s="15">
        <f>D4/B4</f>
        <v/>
      </c>
    </row>
    <row r="5">
      <c r="A5" s="5" t="inlineStr">
        <is>
          <t>Kanban</t>
        </is>
      </c>
      <c r="B5" s="10">
        <f>'Kanban'!B25</f>
        <v/>
      </c>
      <c r="C5" s="10">
        <f>'Kanban'!B23</f>
        <v/>
      </c>
      <c r="D5" s="10">
        <f>B5-C5</f>
        <v/>
      </c>
      <c r="E5" s="15">
        <f>D5/B5</f>
        <v/>
      </c>
    </row>
    <row r="6">
      <c r="A6" s="5" t="inlineStr">
        <is>
          <t>Scrumban</t>
        </is>
      </c>
      <c r="B6" s="10">
        <f>'Scrumban'!B29</f>
        <v/>
      </c>
      <c r="C6" s="10">
        <f>'Scrumban'!B27</f>
        <v/>
      </c>
      <c r="D6" s="10">
        <f>B6-C6</f>
        <v/>
      </c>
      <c r="E6" s="15">
        <f>D6/B6</f>
        <v/>
      </c>
    </row>
    <row r="7">
      <c r="A7" s="5" t="inlineStr">
        <is>
          <t>XP + Scrumban</t>
        </is>
      </c>
      <c r="B7" s="10">
        <f>'XP + Scrumban'!B29</f>
        <v/>
      </c>
      <c r="C7" s="10">
        <f>'XP + Scrumban'!B27</f>
        <v/>
      </c>
      <c r="D7" s="10">
        <f>B7-C7</f>
        <v/>
      </c>
      <c r="E7" s="15">
        <f>D7/B7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20" customWidth="1" min="4" max="4"/>
    <col width="14" customWidth="1" min="5" max="5"/>
    <col width="14" customWidth="1" min="6" max="6"/>
    <col width="16" customWidth="1" min="7" max="7"/>
    <col width="42" customWidth="1" min="8" max="8"/>
  </cols>
  <sheetData>
    <row r="1">
      <c r="A1" s="1" t="inlineStr">
        <is>
          <t>ROI por metodología vs TMAR (vista cliente — incluye costos adicionales y riesgos)</t>
        </is>
      </c>
      <c r="B1" s="2" t="n"/>
      <c r="C1" s="2" t="n"/>
      <c r="D1" s="2" t="n"/>
      <c r="E1" s="2" t="n"/>
      <c r="F1" s="2" t="n"/>
      <c r="G1" s="2" t="n"/>
      <c r="H1" s="3" t="n"/>
    </row>
    <row r="3">
      <c r="A3" s="1" t="inlineStr">
        <is>
          <t>Metodología</t>
        </is>
      </c>
      <c r="B3" s="1" t="inlineStr">
        <is>
          <t>Precio cliente</t>
        </is>
      </c>
      <c r="C3" s="1" t="inlineStr">
        <is>
          <t>Inversión (costo + adic + riesgos)</t>
        </is>
      </c>
      <c r="D3" s="1" t="inlineStr">
        <is>
          <t>Beneficio neto</t>
        </is>
      </c>
      <c r="E3" s="1" t="inlineStr">
        <is>
          <t>ROI</t>
        </is>
      </c>
      <c r="F3" s="1" t="inlineStr">
        <is>
          <t>TMAR</t>
        </is>
      </c>
      <c r="G3" s="1" t="inlineStr">
        <is>
          <t>¿ROI &gt; TMAR?</t>
        </is>
      </c>
      <c r="H3" s="1" t="inlineStr">
        <is>
          <t>Veredicto</t>
        </is>
      </c>
    </row>
    <row r="4">
      <c r="A4" s="5" t="inlineStr">
        <is>
          <t>Scrum</t>
        </is>
      </c>
      <c r="B4" s="10">
        <f>'Scrum'!B22</f>
        <v/>
      </c>
      <c r="C4" s="10">
        <f>'Scrum'!B20</f>
        <v/>
      </c>
      <c r="D4" s="10">
        <f>B4-C4</f>
        <v/>
      </c>
      <c r="E4" s="15">
        <f>D4/C4</f>
        <v/>
      </c>
      <c r="F4" s="15">
        <f>Inputs!$B$76</f>
        <v/>
      </c>
      <c r="G4" s="16">
        <f>IF(E4&gt;F4,"Sí","No")</f>
        <v/>
      </c>
      <c r="H4" s="16">
        <f>IF(E4&gt;F4,"Proyecto financieramente atractivo","Replantearse / no conviene")</f>
        <v/>
      </c>
    </row>
    <row r="5">
      <c r="A5" s="5" t="inlineStr">
        <is>
          <t>Kanban</t>
        </is>
      </c>
      <c r="B5" s="10">
        <f>'Kanban'!B25</f>
        <v/>
      </c>
      <c r="C5" s="10">
        <f>'Kanban'!B23</f>
        <v/>
      </c>
      <c r="D5" s="10">
        <f>B5-C5</f>
        <v/>
      </c>
      <c r="E5" s="15">
        <f>D5/C5</f>
        <v/>
      </c>
      <c r="F5" s="15">
        <f>Inputs!$B$76</f>
        <v/>
      </c>
      <c r="G5" s="16">
        <f>IF(E5&gt;F5,"Sí","No")</f>
        <v/>
      </c>
      <c r="H5" s="16">
        <f>IF(E5&gt;F5,"Proyecto financieramente atractivo","Replantearse / no conviene")</f>
        <v/>
      </c>
    </row>
    <row r="6">
      <c r="A6" s="5" t="inlineStr">
        <is>
          <t>Scrumban</t>
        </is>
      </c>
      <c r="B6" s="10">
        <f>'Scrumban'!B29</f>
        <v/>
      </c>
      <c r="C6" s="10">
        <f>'Scrumban'!B27</f>
        <v/>
      </c>
      <c r="D6" s="10">
        <f>B6-C6</f>
        <v/>
      </c>
      <c r="E6" s="15">
        <f>D6/C6</f>
        <v/>
      </c>
      <c r="F6" s="15">
        <f>Inputs!$B$76</f>
        <v/>
      </c>
      <c r="G6" s="16">
        <f>IF(E6&gt;F6,"Sí","No")</f>
        <v/>
      </c>
      <c r="H6" s="16">
        <f>IF(E6&gt;F6,"Proyecto financieramente atractivo","Replantearse / no conviene")</f>
        <v/>
      </c>
    </row>
    <row r="7">
      <c r="A7" s="5" t="inlineStr">
        <is>
          <t>XP + Scrumban</t>
        </is>
      </c>
      <c r="B7" s="10">
        <f>'XP + Scrumban'!B29</f>
        <v/>
      </c>
      <c r="C7" s="10">
        <f>'XP + Scrumban'!B27</f>
        <v/>
      </c>
      <c r="D7" s="10">
        <f>B7-C7</f>
        <v/>
      </c>
      <c r="E7" s="15">
        <f>D7/C7</f>
        <v/>
      </c>
      <c r="F7" s="15">
        <f>Inputs!$B$76</f>
        <v/>
      </c>
      <c r="G7" s="16">
        <f>IF(E7&gt;F7,"Sí","No")</f>
        <v/>
      </c>
      <c r="H7" s="16">
        <f>IF(E7&gt;F7,"Proyecto financieramente atractivo","Replantearse / no conviene")</f>
        <v/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8" customWidth="1" min="3" max="3"/>
    <col width="14" customWidth="1" min="4" max="4"/>
    <col width="14" customWidth="1" min="5" max="5"/>
    <col width="10" customWidth="1" min="6" max="6"/>
    <col width="16" customWidth="1" min="7" max="7"/>
    <col width="14" customWidth="1" min="8" max="8"/>
    <col width="20" customWidth="1" min="9" max="9"/>
    <col width="18" customWidth="1" min="10" max="10"/>
    <col width="50" customWidth="1" min="11" max="11"/>
    <col width="22" customWidth="1" min="12" max="12"/>
  </cols>
  <sheetData>
    <row r="1" ht="22" customHeight="1">
      <c r="A1" s="1" t="inlineStr">
        <is>
          <t>Matriz de riesgos del proyecto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3">
      <c r="A3" s="1" t="inlineStr">
        <is>
          <t>ID</t>
        </is>
      </c>
      <c r="B3" s="1" t="inlineStr">
        <is>
          <t>Riesgo</t>
        </is>
      </c>
      <c r="C3" s="1" t="inlineStr">
        <is>
          <t>Tipo</t>
        </is>
      </c>
      <c r="D3" s="1" t="inlineStr">
        <is>
          <t>Probabilidad cual.</t>
        </is>
      </c>
      <c r="E3" s="1" t="inlineStr">
        <is>
          <t>Impacto cual.</t>
        </is>
      </c>
      <c r="F3" s="1" t="inlineStr">
        <is>
          <t>Nivel</t>
        </is>
      </c>
      <c r="G3" s="1" t="inlineStr">
        <is>
          <t>Probabilidad numérica</t>
        </is>
      </c>
      <c r="H3" s="1" t="inlineStr">
        <is>
          <t>Impacto (meses)</t>
        </is>
      </c>
      <c r="I3" s="1" t="inlineStr">
        <is>
          <t>Costo del riesgo (GTQ)</t>
        </is>
      </c>
      <c r="J3" s="1" t="inlineStr">
        <is>
          <t>EMV (GTQ)</t>
        </is>
      </c>
      <c r="K3" s="1" t="inlineStr">
        <is>
          <t>Mitigación</t>
        </is>
      </c>
      <c r="L3" s="1" t="inlineStr">
        <is>
          <t>Responsable</t>
        </is>
      </c>
    </row>
    <row r="4">
      <c r="A4" s="5" t="inlineStr">
        <is>
          <t>R1</t>
        </is>
      </c>
      <c r="B4" s="5" t="inlineStr">
        <is>
          <t>Cambios de requerimientos frecuentes por parte del cliente</t>
        </is>
      </c>
      <c r="C4" s="5" t="inlineStr">
        <is>
          <t>Alcance</t>
        </is>
      </c>
      <c r="D4" s="5" t="inlineStr">
        <is>
          <t>Media</t>
        </is>
      </c>
      <c r="E4" s="5" t="inlineStr">
        <is>
          <t>Alto</t>
        </is>
      </c>
      <c r="F4" s="5" t="inlineStr">
        <is>
          <t>Alto</t>
        </is>
      </c>
      <c r="G4" s="8" t="n">
        <v>0.4</v>
      </c>
      <c r="H4" s="8" t="n">
        <v>1</v>
      </c>
      <c r="I4" s="10">
        <f>(Inputs!$D$27)*H4</f>
        <v/>
      </c>
      <c r="J4" s="10">
        <f>G4*I4</f>
        <v/>
      </c>
      <c r="K4" s="5" t="inlineStr">
        <is>
          <t>DoR firme y control de cambios documentado por el Product Owner.</t>
        </is>
      </c>
      <c r="L4" s="5" t="inlineStr">
        <is>
          <t>Product Owner</t>
        </is>
      </c>
    </row>
    <row r="5">
      <c r="A5" s="5" t="inlineStr">
        <is>
          <t>R2</t>
        </is>
      </c>
      <c r="B5" s="5" t="inlineStr">
        <is>
          <t>Retraso técnico por dependencias de infraestructura cloud</t>
        </is>
      </c>
      <c r="C5" s="5" t="inlineStr">
        <is>
          <t>Tiempo</t>
        </is>
      </c>
      <c r="D5" s="5" t="inlineStr">
        <is>
          <t>Media</t>
        </is>
      </c>
      <c r="E5" s="5" t="inlineStr">
        <is>
          <t>Medio</t>
        </is>
      </c>
      <c r="F5" s="5" t="inlineStr">
        <is>
          <t>Medio</t>
        </is>
      </c>
      <c r="G5" s="8" t="n">
        <v>0.4</v>
      </c>
      <c r="H5" s="8" t="n">
        <v>0.5</v>
      </c>
      <c r="I5" s="10">
        <f>(Inputs!$D$27)*H5</f>
        <v/>
      </c>
      <c r="J5" s="10">
        <f>G5*I5</f>
        <v/>
      </c>
      <c r="K5" s="5" t="inlineStr">
        <is>
          <t>Entorno de pruebas paralelo desde Sprint 1; proveedor cloud con SLA definido.</t>
        </is>
      </c>
      <c r="L5" s="5" t="inlineStr">
        <is>
          <t>Developer líder</t>
        </is>
      </c>
    </row>
    <row r="6">
      <c r="A6" s="5" t="inlineStr">
        <is>
          <t>R3</t>
        </is>
      </c>
      <c r="B6" s="5" t="inlineStr">
        <is>
          <t>Falta de comunicación entre equipo y stakeholders</t>
        </is>
      </c>
      <c r="C6" s="5" t="inlineStr">
        <is>
          <t>Comunicación</t>
        </is>
      </c>
      <c r="D6" s="5" t="inlineStr">
        <is>
          <t>Baja</t>
        </is>
      </c>
      <c r="E6" s="5" t="inlineStr">
        <is>
          <t>Medio</t>
        </is>
      </c>
      <c r="F6" s="5" t="inlineStr">
        <is>
          <t>Medio</t>
        </is>
      </c>
      <c r="G6" s="8" t="n">
        <v>0.2</v>
      </c>
      <c r="H6" s="8" t="n">
        <v>0.5</v>
      </c>
      <c r="I6" s="10">
        <f>(Inputs!$D$27)*H6</f>
        <v/>
      </c>
      <c r="J6" s="10">
        <f>G6*I6</f>
        <v/>
      </c>
      <c r="K6" s="5" t="inlineStr">
        <is>
          <t>Canales formales (Slack + actas de Sprint Review).</t>
        </is>
      </c>
      <c r="L6" s="5" t="inlineStr">
        <is>
          <t>Scrum Master</t>
        </is>
      </c>
    </row>
    <row r="7">
      <c r="A7" s="5" t="inlineStr">
        <is>
          <t>R4</t>
        </is>
      </c>
      <c r="B7" s="5" t="inlineStr">
        <is>
          <t>Falta de involucramiento por parte del cliente</t>
        </is>
      </c>
      <c r="C7" s="5" t="inlineStr">
        <is>
          <t>Alcance</t>
        </is>
      </c>
      <c r="D7" s="5" t="inlineStr">
        <is>
          <t>Baja</t>
        </is>
      </c>
      <c r="E7" s="5" t="inlineStr">
        <is>
          <t>Alto</t>
        </is>
      </c>
      <c r="F7" s="5" t="inlineStr">
        <is>
          <t>Alto</t>
        </is>
      </c>
      <c r="G7" s="8" t="n">
        <v>0.2</v>
      </c>
      <c r="H7" s="8" t="n">
        <v>1</v>
      </c>
      <c r="I7" s="10">
        <f>(Inputs!$D$27)*H7</f>
        <v/>
      </c>
      <c r="J7" s="10">
        <f>G7*I7</f>
        <v/>
      </c>
      <c r="K7" s="5" t="inlineStr">
        <is>
          <t>Calendario fijo de validaciones quincenales con el cliente UVG.</t>
        </is>
      </c>
      <c r="L7" s="5" t="inlineStr">
        <is>
          <t>Scrum Master</t>
        </is>
      </c>
    </row>
    <row r="8">
      <c r="A8" s="5" t="inlineStr">
        <is>
          <t>R5</t>
        </is>
      </c>
      <c r="B8" s="5" t="inlineStr">
        <is>
          <t>Rotación o indisponibilidad temporal de un miembro del equipo</t>
        </is>
      </c>
      <c r="C8" s="5" t="inlineStr">
        <is>
          <t>Personal</t>
        </is>
      </c>
      <c r="D8" s="5" t="inlineStr">
        <is>
          <t>Baja</t>
        </is>
      </c>
      <c r="E8" s="5" t="inlineStr">
        <is>
          <t>Medio</t>
        </is>
      </c>
      <c r="F8" s="5" t="inlineStr">
        <is>
          <t>Medio</t>
        </is>
      </c>
      <c r="G8" s="8" t="n">
        <v>0.2</v>
      </c>
      <c r="H8" s="8" t="n">
        <v>0.5</v>
      </c>
      <c r="I8" s="10">
        <f>(Inputs!$D$27)*H8</f>
        <v/>
      </c>
      <c r="J8" s="10">
        <f>G8*I8</f>
        <v/>
      </c>
      <c r="K8" s="5" t="inlineStr">
        <is>
          <t>Documentación técnica continua y pair programming.</t>
        </is>
      </c>
      <c r="L8" s="5" t="inlineStr">
        <is>
          <t>Scrum Master</t>
        </is>
      </c>
    </row>
    <row r="9">
      <c r="A9" s="5" t="inlineStr">
        <is>
          <t>R6</t>
        </is>
      </c>
      <c r="B9" s="5" t="inlineStr">
        <is>
          <t>Falla o indisponibilidad del proveedor cloud</t>
        </is>
      </c>
      <c r="C9" s="5" t="inlineStr">
        <is>
          <t>Proveedor</t>
        </is>
      </c>
      <c r="D9" s="5" t="inlineStr">
        <is>
          <t>Baja</t>
        </is>
      </c>
      <c r="E9" s="5" t="inlineStr">
        <is>
          <t>Bajo</t>
        </is>
      </c>
      <c r="F9" s="5" t="inlineStr">
        <is>
          <t>Bajo</t>
        </is>
      </c>
      <c r="G9" s="8" t="n">
        <v>0.2</v>
      </c>
      <c r="H9" s="8" t="n">
        <v>0.25</v>
      </c>
      <c r="I9" s="10">
        <f>(Inputs!$D$27)*H9</f>
        <v/>
      </c>
      <c r="J9" s="10">
        <f>G9*I9</f>
        <v/>
      </c>
      <c r="K9" s="5" t="inlineStr">
        <is>
          <t>SLA contractual con penalidades; plan de contingencia en segundo proveedor.</t>
        </is>
      </c>
      <c r="L9" s="5" t="inlineStr">
        <is>
          <t>Product Owner</t>
        </is>
      </c>
    </row>
    <row r="10">
      <c r="A10" s="5" t="inlineStr">
        <is>
          <t>R7</t>
        </is>
      </c>
      <c r="B10" s="5" t="inlineStr">
        <is>
          <t>Baja adopción del sistema por estudiantes de diversificado</t>
        </is>
      </c>
      <c r="C10" s="5" t="inlineStr">
        <is>
          <t>Cliente / Usuario</t>
        </is>
      </c>
      <c r="D10" s="5" t="inlineStr">
        <is>
          <t>Media</t>
        </is>
      </c>
      <c r="E10" s="5" t="inlineStr">
        <is>
          <t>Alto</t>
        </is>
      </c>
      <c r="F10" s="5" t="inlineStr">
        <is>
          <t>Alto</t>
        </is>
      </c>
      <c r="G10" s="8" t="n">
        <v>0.4</v>
      </c>
      <c r="H10" s="8" t="n">
        <v>1</v>
      </c>
      <c r="I10" s="10">
        <f>(Inputs!$D$27)*H10</f>
        <v/>
      </c>
      <c r="J10" s="10">
        <f>G10*I10</f>
        <v/>
      </c>
      <c r="K10" s="5" t="inlineStr">
        <is>
          <t>Pruebas de usabilidad Sprint 8; comunicación con Dirección de Admisiones.</t>
        </is>
      </c>
      <c r="L10" s="5" t="inlineStr">
        <is>
          <t>Product Owner</t>
        </is>
      </c>
    </row>
    <row r="11">
      <c r="A11" s="5" t="inlineStr">
        <is>
          <t>R8</t>
        </is>
      </c>
      <c r="B11" s="5" t="inlineStr">
        <is>
          <t>Exposición o fuga de datos personales de estudiantes</t>
        </is>
      </c>
      <c r="C11" s="5" t="inlineStr">
        <is>
          <t>Técnico / Legal</t>
        </is>
      </c>
      <c r="D11" s="5" t="inlineStr">
        <is>
          <t>Baja</t>
        </is>
      </c>
      <c r="E11" s="5" t="inlineStr">
        <is>
          <t>Crítico</t>
        </is>
      </c>
      <c r="F11" s="5" t="inlineStr">
        <is>
          <t>Alto</t>
        </is>
      </c>
      <c r="G11" s="8" t="n">
        <v>0.2</v>
      </c>
      <c r="H11" s="8" t="n">
        <v>1.5</v>
      </c>
      <c r="I11" s="10">
        <f>(Inputs!$D$27)*H11</f>
        <v/>
      </c>
      <c r="J11" s="10">
        <f>G11*I11</f>
        <v/>
      </c>
      <c r="K11" s="5" t="inlineStr">
        <is>
          <t>Cifrado en tránsito y reposo, revisión de seguridad por sprint, NDA.</t>
        </is>
      </c>
      <c r="L11" s="5" t="inlineStr">
        <is>
          <t>Developer (seguridad)</t>
        </is>
      </c>
    </row>
    <row r="12">
      <c r="A12" s="5" t="inlineStr">
        <is>
          <t>R9</t>
        </is>
      </c>
      <c r="B12" s="5" t="inlineStr">
        <is>
          <t>Modificación del pensum UVG 2026 durante el desarrollo</t>
        </is>
      </c>
      <c r="C12" s="5" t="inlineStr">
        <is>
          <t>Alcance</t>
        </is>
      </c>
      <c r="D12" s="5" t="inlineStr">
        <is>
          <t>Baja</t>
        </is>
      </c>
      <c r="E12" s="5" t="inlineStr">
        <is>
          <t>Medio</t>
        </is>
      </c>
      <c r="F12" s="5" t="inlineStr">
        <is>
          <t>Medio</t>
        </is>
      </c>
      <c r="G12" s="8" t="n">
        <v>0.2</v>
      </c>
      <c r="H12" s="8" t="n">
        <v>0.5</v>
      </c>
      <c r="I12" s="10">
        <f>(Inputs!$D$27)*H12</f>
        <v/>
      </c>
      <c r="J12" s="10">
        <f>G12*I12</f>
        <v/>
      </c>
      <c r="K12" s="5" t="inlineStr">
        <is>
          <t>Catálogo de carreras actualizable sin rediseño del motor de recomendación.</t>
        </is>
      </c>
      <c r="L12" s="5" t="inlineStr">
        <is>
          <t>Product Owner</t>
        </is>
      </c>
    </row>
    <row r="13">
      <c r="H13" s="11" t="inlineStr">
        <is>
          <t>Reserva de contingencia (Σ EMV)</t>
        </is>
      </c>
      <c r="J13" s="12">
        <f>SUM(J4:J12)</f>
        <v/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4" customWidth="1" min="3" max="3"/>
    <col width="4" customWidth="1" min="4" max="4"/>
    <col width="4" customWidth="1" min="5" max="5"/>
    <col width="55" customWidth="1" min="6" max="6"/>
    <col width="20" customWidth="1" min="7" max="7"/>
  </cols>
  <sheetData>
    <row r="1">
      <c r="A1" s="1" t="inlineStr">
        <is>
          <t>Costos adicionales (insumos / infraestructura)</t>
        </is>
      </c>
      <c r="B1" s="2" t="n"/>
      <c r="C1" s="2" t="n"/>
      <c r="D1" s="3" t="n"/>
    </row>
    <row r="2">
      <c r="F2" s="4" t="inlineStr">
        <is>
          <t>Constantes (mensual)</t>
        </is>
      </c>
    </row>
    <row r="3">
      <c r="A3" s="4" t="inlineStr">
        <is>
          <t>Costos para 6 meses de desarrollo</t>
        </is>
      </c>
      <c r="F3" s="1" t="inlineStr">
        <is>
          <t>Insumo</t>
        </is>
      </c>
      <c r="G3" s="1" t="inlineStr">
        <is>
          <t>Valor mensual</t>
        </is>
      </c>
    </row>
    <row r="4">
      <c r="A4" s="1" t="inlineStr">
        <is>
          <t>Insumo</t>
        </is>
      </c>
      <c r="B4" s="1" t="inlineStr">
        <is>
          <t>Valor total</t>
        </is>
      </c>
      <c r="F4" s="5" t="inlineStr">
        <is>
          <t>Suscripción Microsoft Office Business Standard (todos)</t>
        </is>
      </c>
      <c r="G4" s="9" t="n">
        <v>750</v>
      </c>
    </row>
    <row r="5">
      <c r="A5" s="5" t="inlineStr">
        <is>
          <t>Microsoft Office Business Standard (6 meses)</t>
        </is>
      </c>
      <c r="B5" s="10">
        <f>$G$4*6</f>
        <v/>
      </c>
      <c r="F5" s="5" t="inlineStr">
        <is>
          <t>Equipo de cómputo desarrollador (unidad)</t>
        </is>
      </c>
      <c r="G5" s="9" t="n">
        <v>13000</v>
      </c>
    </row>
    <row r="6">
      <c r="A6" s="5" t="inlineStr">
        <is>
          <t>Equipo de cómputo (3 dev + 2 ejecutivo, 1 vez)</t>
        </is>
      </c>
      <c r="B6" s="10">
        <f>($G$5*3)+($G$6*2)</f>
        <v/>
      </c>
      <c r="F6" s="5" t="inlineStr">
        <is>
          <t>Equipo de cómputo cargo ejecutivo (unidad)</t>
        </is>
      </c>
      <c r="G6" s="9" t="n">
        <v>6000</v>
      </c>
    </row>
    <row r="7">
      <c r="A7" s="5" t="inlineStr">
        <is>
          <t>Claude Team Pro (6 meses)</t>
        </is>
      </c>
      <c r="B7" s="10">
        <f>$G$7*6</f>
        <v/>
      </c>
      <c r="F7" s="5" t="inlineStr">
        <is>
          <t>Suscripción Claude Team Pro (equipo)</t>
        </is>
      </c>
      <c r="G7" s="9" t="n">
        <v>750</v>
      </c>
    </row>
    <row r="8">
      <c r="A8" s="5" t="inlineStr">
        <is>
          <t>Internet residencial Tigo (6 meses)</t>
        </is>
      </c>
      <c r="B8" s="10">
        <f>$G$8*6</f>
        <v/>
      </c>
      <c r="F8" s="5" t="inlineStr">
        <is>
          <t>Internet residencial Tigo (todos)</t>
        </is>
      </c>
      <c r="G8" s="9" t="n">
        <v>2250</v>
      </c>
    </row>
    <row r="9">
      <c r="A9" s="5" t="inlineStr">
        <is>
          <t>Luz EEGSA (6 meses)</t>
        </is>
      </c>
      <c r="B9" s="10">
        <f>$G$9*6</f>
        <v/>
      </c>
      <c r="F9" s="5" t="inlineStr">
        <is>
          <t>Luz EEGSA 500 kWh</t>
        </is>
      </c>
      <c r="G9" s="9" t="n">
        <v>5000</v>
      </c>
    </row>
    <row r="10">
      <c r="A10" s="5" t="inlineStr">
        <is>
          <t>Google Colab Pro (6 meses)</t>
        </is>
      </c>
      <c r="B10" s="10">
        <f>$G$10*6</f>
        <v/>
      </c>
      <c r="F10" s="5" t="inlineStr">
        <is>
          <t>Licencia Google Colab Pro</t>
        </is>
      </c>
      <c r="G10" s="9" t="n">
        <v>195</v>
      </c>
    </row>
    <row r="11">
      <c r="A11" s="5" t="inlineStr">
        <is>
          <t>Infraestructura cloud (6 meses)</t>
        </is>
      </c>
      <c r="B11" s="10">
        <f>$G$11*6</f>
        <v/>
      </c>
      <c r="F11" s="5" t="inlineStr">
        <is>
          <t>Infraestructura cloud</t>
        </is>
      </c>
      <c r="G11" s="9" t="n">
        <v>200</v>
      </c>
    </row>
    <row r="12">
      <c r="A12" s="11" t="inlineStr">
        <is>
          <t>Total 6 meses</t>
        </is>
      </c>
      <c r="B12" s="12">
        <f>SUM(B5:B11)</f>
        <v/>
      </c>
    </row>
    <row r="15">
      <c r="A15" s="4" t="inlineStr">
        <is>
          <t>Costos para 12 meses de desarrollo</t>
        </is>
      </c>
    </row>
    <row r="16">
      <c r="A16" s="1" t="inlineStr">
        <is>
          <t>Insumo</t>
        </is>
      </c>
      <c r="B16" s="1" t="inlineStr">
        <is>
          <t>Valor total</t>
        </is>
      </c>
    </row>
    <row r="17">
      <c r="A17" s="5" t="inlineStr">
        <is>
          <t>Microsoft Office Business Standard (12 meses)</t>
        </is>
      </c>
      <c r="B17" s="10">
        <f>$G$4*12</f>
        <v/>
      </c>
    </row>
    <row r="18">
      <c r="A18" s="5" t="inlineStr">
        <is>
          <t>Equipo de cómputo (3 dev + 2 ejecutivo, 1 vez)</t>
        </is>
      </c>
      <c r="B18" s="10">
        <f>($G$5*3)+($G$6*2)</f>
        <v/>
      </c>
    </row>
    <row r="19">
      <c r="A19" s="5" t="inlineStr">
        <is>
          <t>Claude Team Pro (12 meses)</t>
        </is>
      </c>
      <c r="B19" s="10">
        <f>$G$7*12</f>
        <v/>
      </c>
    </row>
    <row r="20">
      <c r="A20" s="5" t="inlineStr">
        <is>
          <t>Internet residencial Tigo (12 meses)</t>
        </is>
      </c>
      <c r="B20" s="10">
        <f>$G$8*12</f>
        <v/>
      </c>
    </row>
    <row r="21">
      <c r="A21" s="5" t="inlineStr">
        <is>
          <t>Luz EEGSA (12 meses)</t>
        </is>
      </c>
      <c r="B21" s="10">
        <f>$G$9*12</f>
        <v/>
      </c>
    </row>
    <row r="22">
      <c r="A22" s="5" t="inlineStr">
        <is>
          <t>Google Colab Pro (12 meses)</t>
        </is>
      </c>
      <c r="B22" s="10">
        <f>$G$10*12</f>
        <v/>
      </c>
    </row>
    <row r="23">
      <c r="A23" s="5" t="inlineStr">
        <is>
          <t>Infraestructura cloud (12 meses)</t>
        </is>
      </c>
      <c r="B23" s="10">
        <f>$G$11*12</f>
        <v/>
      </c>
    </row>
    <row r="24">
      <c r="A24" s="11" t="inlineStr">
        <is>
          <t>Total 12 meses</t>
        </is>
      </c>
      <c r="B24" s="12">
        <f>SUM(B17:B23)</f>
        <v/>
      </c>
    </row>
  </sheetData>
  <mergeCells count="4">
    <mergeCell ref="A1:D1"/>
    <mergeCell ref="F2:G2"/>
    <mergeCell ref="A3:B3"/>
    <mergeCell ref="A15:B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60" customWidth="1" min="3" max="3"/>
  </cols>
  <sheetData>
    <row r="1">
      <c r="A1" s="1" t="inlineStr">
        <is>
          <t>TMAR — Tasa Mínima Aceptable de Rendimiento</t>
        </is>
      </c>
      <c r="B1" s="2" t="n"/>
      <c r="C1" s="3" t="n"/>
    </row>
    <row r="3">
      <c r="A3" s="4" t="inlineStr">
        <is>
          <t>Composición</t>
        </is>
      </c>
    </row>
    <row r="4">
      <c r="A4" s="1" t="inlineStr">
        <is>
          <t>Componente</t>
        </is>
      </c>
      <c r="B4" s="1" t="inlineStr">
        <is>
          <t>Valor</t>
        </is>
      </c>
      <c r="C4" s="1" t="inlineStr">
        <is>
          <t>Comentario</t>
        </is>
      </c>
    </row>
    <row r="5">
      <c r="A5" s="5" t="inlineStr">
        <is>
          <t>Inflación anual</t>
        </is>
      </c>
      <c r="B5" s="15">
        <f>Inputs!$B$73</f>
        <v/>
      </c>
      <c r="C5" s="5" t="inlineStr">
        <is>
          <t>El dinero se deprecia 5 % al año.</t>
        </is>
      </c>
    </row>
    <row r="6">
      <c r="A6" s="5" t="inlineStr">
        <is>
          <t>Prima por riesgo del proyecto</t>
        </is>
      </c>
      <c r="B6" s="15">
        <f>Inputs!$B$74</f>
        <v/>
      </c>
      <c r="C6" s="5" t="inlineStr">
        <is>
          <t>Proyecto de complejidad técnica intermedia.</t>
        </is>
      </c>
    </row>
    <row r="7">
      <c r="A7" s="5" t="inlineStr">
        <is>
          <t>Rendimiento mínimo esperado</t>
        </is>
      </c>
      <c r="B7" s="15">
        <f>Inputs!$B$75</f>
        <v/>
      </c>
      <c r="C7" s="5" t="inlineStr">
        <is>
          <t>Meta de la empresa proveedora.</t>
        </is>
      </c>
    </row>
    <row r="8">
      <c r="A8" s="11" t="inlineStr">
        <is>
          <t>TMAR total</t>
        </is>
      </c>
      <c r="B8" s="13">
        <f>SUM(B5:B7)</f>
        <v/>
      </c>
    </row>
    <row r="11">
      <c r="A11" s="4" t="inlineStr">
        <is>
          <t>Tabla orientativa de riesgo</t>
        </is>
      </c>
    </row>
    <row r="12">
      <c r="A12" s="1" t="inlineStr">
        <is>
          <t>Tipo de proyecto</t>
        </is>
      </c>
      <c r="B12" s="1" t="inlineStr">
        <is>
          <t>Riesgo sugerido</t>
        </is>
      </c>
      <c r="C12" s="1" t="inlineStr">
        <is>
          <t>Comentario</t>
        </is>
      </c>
    </row>
    <row r="13">
      <c r="A13" s="5" t="inlineStr">
        <is>
          <t>Muy estable</t>
        </is>
      </c>
      <c r="B13" s="5" t="inlineStr">
        <is>
          <t>3 % – 5 %</t>
        </is>
      </c>
      <c r="C13" s="5" t="inlineStr">
        <is>
          <t>Reemplazo de sistema con requisitos cerrados.</t>
        </is>
      </c>
    </row>
    <row r="14">
      <c r="A14" s="5" t="inlineStr">
        <is>
          <t>Normal</t>
        </is>
      </c>
      <c r="B14" s="5" t="inlineStr">
        <is>
          <t>6 % – 10 %</t>
        </is>
      </c>
      <c r="C14" s="5" t="inlineStr">
        <is>
          <t>Caso típico de proyecto interno.</t>
        </is>
      </c>
    </row>
    <row r="15">
      <c r="A15" s="5" t="inlineStr">
        <is>
          <t>Muy riesgoso</t>
        </is>
      </c>
      <c r="B15" s="5" t="inlineStr">
        <is>
          <t>12 % – 20 %</t>
        </is>
      </c>
      <c r="C15" s="5" t="inlineStr">
        <is>
          <t>Innovación, tecnología nueva, alta incertidumbre.</t>
        </is>
      </c>
    </row>
  </sheetData>
  <mergeCells count="3">
    <mergeCell ref="A1:C1"/>
    <mergeCell ref="A3:C3"/>
    <mergeCell ref="A11:C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</cols>
  <sheetData>
    <row r="1">
      <c r="A1" s="1" t="inlineStr">
        <is>
          <t>ROA — Return on Assets (empresa proveedora)</t>
        </is>
      </c>
      <c r="B1" s="2" t="n"/>
      <c r="C1" s="3" t="n"/>
    </row>
    <row r="3">
      <c r="A3" s="4" t="inlineStr">
        <is>
          <t>Activos de la empresa</t>
        </is>
      </c>
    </row>
    <row r="4">
      <c r="A4" s="1" t="inlineStr">
        <is>
          <t>Activo</t>
        </is>
      </c>
      <c r="B4" s="1" t="inlineStr">
        <is>
          <t>Valor (GTQ)</t>
        </is>
      </c>
    </row>
    <row r="5">
      <c r="A5" s="5" t="inlineStr">
        <is>
          <t>Laptops</t>
        </is>
      </c>
      <c r="B5" s="9" t="n">
        <v>120000</v>
      </c>
    </row>
    <row r="6">
      <c r="A6" s="5" t="inlineStr">
        <is>
          <t>Servidores</t>
        </is>
      </c>
      <c r="B6" s="9" t="n">
        <v>150000</v>
      </c>
    </row>
    <row r="7">
      <c r="A7" s="5" t="inlineStr">
        <is>
          <t>Licencias</t>
        </is>
      </c>
      <c r="B7" s="9" t="n">
        <v>30000</v>
      </c>
    </row>
    <row r="8">
      <c r="A8" s="5" t="inlineStr">
        <is>
          <t>Oficina / infraestructura</t>
        </is>
      </c>
      <c r="B8" s="9" t="n">
        <v>100000</v>
      </c>
    </row>
    <row r="9">
      <c r="A9" s="5" t="inlineStr">
        <is>
          <t>Equipo de testing</t>
        </is>
      </c>
      <c r="B9" s="9" t="n">
        <v>20000</v>
      </c>
    </row>
    <row r="10">
      <c r="A10" s="5" t="inlineStr">
        <is>
          <t>Mobiliario / redes</t>
        </is>
      </c>
      <c r="B10" s="9" t="n">
        <v>80000</v>
      </c>
    </row>
    <row r="11">
      <c r="A11" s="11" t="inlineStr">
        <is>
          <t>Total activos</t>
        </is>
      </c>
      <c r="B11" s="12">
        <f>SUM(B5:B10)</f>
        <v/>
      </c>
    </row>
  </sheetData>
  <mergeCells count="2">
    <mergeCell ref="A1:C1"/>
    <mergeCell ref="A3:C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70" customWidth="1" min="3" max="3"/>
    <col width="16" customWidth="1" min="4" max="4"/>
  </cols>
  <sheetData>
    <row r="1">
      <c r="A1" s="1" t="inlineStr">
        <is>
          <t>Tareas (sin XP)</t>
        </is>
      </c>
      <c r="B1" s="2" t="n"/>
      <c r="C1" s="2" t="n"/>
      <c r="D1" s="3" t="n"/>
    </row>
    <row r="2">
      <c r="A2" s="1" t="inlineStr">
        <is>
          <t>Épica</t>
        </is>
      </c>
      <c r="B2" s="1" t="inlineStr">
        <is>
          <t>Historia de usuario</t>
        </is>
      </c>
      <c r="C2" s="1" t="inlineStr">
        <is>
          <t>Contenido</t>
        </is>
      </c>
      <c r="D2" s="1" t="inlineStr">
        <is>
          <t>Cantidad de días</t>
        </is>
      </c>
    </row>
    <row r="3">
      <c r="A3" s="5" t="inlineStr">
        <is>
          <t>EP01</t>
        </is>
      </c>
      <c r="B3" s="5" t="inlineStr">
        <is>
          <t>EP01-US01</t>
        </is>
      </c>
      <c r="C3" s="5" t="inlineStr">
        <is>
          <t>Crear tabla de usuarios en base de datos.</t>
        </is>
      </c>
      <c r="D3" s="6" t="n">
        <v>4</v>
      </c>
    </row>
    <row r="4">
      <c r="A4" s="5" t="inlineStr">
        <is>
          <t>EP01</t>
        </is>
      </c>
      <c r="B4" s="5" t="inlineStr">
        <is>
          <t>EP01-US01</t>
        </is>
      </c>
      <c r="C4" s="5" t="inlineStr">
        <is>
          <t>Crear endpoint para registro de usuario.</t>
        </is>
      </c>
      <c r="D4" s="6" t="n">
        <v>5</v>
      </c>
    </row>
    <row r="5">
      <c r="A5" s="5" t="inlineStr">
        <is>
          <t>EP01</t>
        </is>
      </c>
      <c r="B5" s="5" t="inlineStr">
        <is>
          <t>EP01-US01</t>
        </is>
      </c>
      <c r="C5" s="5" t="inlineStr">
        <is>
          <t>Implementar hashing seguro de contraseña.</t>
        </is>
      </c>
      <c r="D5" s="6" t="n">
        <v>5</v>
      </c>
    </row>
    <row r="6">
      <c r="A6" s="5" t="inlineStr">
        <is>
          <t>EP01</t>
        </is>
      </c>
      <c r="B6" s="5" t="inlineStr">
        <is>
          <t>EP01-US01</t>
        </is>
      </c>
      <c r="C6" s="5" t="inlineStr">
        <is>
          <t>Diseñar pantalla de registro.</t>
        </is>
      </c>
      <c r="D6" s="6" t="n">
        <v>4</v>
      </c>
    </row>
    <row r="7">
      <c r="A7" s="5" t="inlineStr">
        <is>
          <t>EP01</t>
        </is>
      </c>
      <c r="B7" s="5" t="inlineStr">
        <is>
          <t>EP01-US01</t>
        </is>
      </c>
      <c r="C7" s="5" t="inlineStr">
        <is>
          <t>Implementar formulario de registro con validaciones.</t>
        </is>
      </c>
      <c r="D7" s="6" t="n">
        <v>5</v>
      </c>
    </row>
    <row r="8">
      <c r="A8" s="5" t="inlineStr">
        <is>
          <t>EP01</t>
        </is>
      </c>
      <c r="B8" s="5" t="inlineStr">
        <is>
          <t>EP01-US01</t>
        </is>
      </c>
      <c r="C8" s="5" t="inlineStr">
        <is>
          <t>Implementar pantalla de confirmación de registro exitoso.</t>
        </is>
      </c>
      <c r="D8" s="6" t="n">
        <v>4</v>
      </c>
    </row>
    <row r="9">
      <c r="A9" s="5" t="inlineStr">
        <is>
          <t>EP01</t>
        </is>
      </c>
      <c r="B9" s="5" t="inlineStr">
        <is>
          <t>EP01-US02</t>
        </is>
      </c>
      <c r="C9" s="5" t="inlineStr">
        <is>
          <t>Crear tabla de perfil académico en base de datos.</t>
        </is>
      </c>
      <c r="D9" s="6" t="n">
        <v>4</v>
      </c>
    </row>
    <row r="10">
      <c r="A10" s="5" t="inlineStr">
        <is>
          <t>EP01</t>
        </is>
      </c>
      <c r="B10" s="5" t="inlineStr">
        <is>
          <t>EP01-US02</t>
        </is>
      </c>
      <c r="C10" s="5" t="inlineStr">
        <is>
          <t>Crear endpoints para guardar y actualizar información académica.</t>
        </is>
      </c>
      <c r="D10" s="6" t="n">
        <v>5</v>
      </c>
    </row>
    <row r="11">
      <c r="A11" s="5" t="inlineStr">
        <is>
          <t>EP01</t>
        </is>
      </c>
      <c r="B11" s="5" t="inlineStr">
        <is>
          <t>EP01-US02</t>
        </is>
      </c>
      <c r="C11" s="5" t="inlineStr">
        <is>
          <t>Implementar validaciones de campos del perfil académico.</t>
        </is>
      </c>
      <c r="D11" s="6" t="n">
        <v>4</v>
      </c>
    </row>
    <row r="12">
      <c r="A12" s="5" t="inlineStr">
        <is>
          <t>EP01</t>
        </is>
      </c>
      <c r="B12" s="5" t="inlineStr">
        <is>
          <t>EP01-US02</t>
        </is>
      </c>
      <c r="C12" s="5" t="inlineStr">
        <is>
          <t>Diseñar sección de perfil académico.</t>
        </is>
      </c>
      <c r="D12" s="6" t="n">
        <v>4</v>
      </c>
    </row>
    <row r="13">
      <c r="A13" s="5" t="inlineStr">
        <is>
          <t>EP01</t>
        </is>
      </c>
      <c r="B13" s="5" t="inlineStr">
        <is>
          <t>EP01-US02</t>
        </is>
      </c>
      <c r="C13" s="5" t="inlineStr">
        <is>
          <t>Implementar formulario de perfil académico con validaciones.</t>
        </is>
      </c>
      <c r="D13" s="6" t="n">
        <v>5</v>
      </c>
    </row>
    <row r="14">
      <c r="A14" s="5" t="inlineStr">
        <is>
          <t>EP01</t>
        </is>
      </c>
      <c r="B14" s="5" t="inlineStr">
        <is>
          <t>EP01-US03</t>
        </is>
      </c>
      <c r="C14" s="5" t="inlineStr">
        <is>
          <t>Crear tabla de experiencias en base de datos.</t>
        </is>
      </c>
      <c r="D14" s="6" t="n">
        <v>4</v>
      </c>
    </row>
    <row r="15">
      <c r="A15" s="5" t="inlineStr">
        <is>
          <t>EP01</t>
        </is>
      </c>
      <c r="B15" s="5" t="inlineStr">
        <is>
          <t>EP01-US03</t>
        </is>
      </c>
      <c r="C15" s="5" t="inlineStr">
        <is>
          <t>Crear endpoints para gestión de experiencias.</t>
        </is>
      </c>
      <c r="D15" s="6" t="n">
        <v>5</v>
      </c>
    </row>
    <row r="16">
      <c r="A16" s="5" t="inlineStr">
        <is>
          <t>EP01</t>
        </is>
      </c>
      <c r="B16" s="5" t="inlineStr">
        <is>
          <t>EP01-US03</t>
        </is>
      </c>
      <c r="C16" s="5" t="inlineStr">
        <is>
          <t>Implementar validaciones para el tipo y campos de experiencia.</t>
        </is>
      </c>
      <c r="D16" s="6" t="n">
        <v>4</v>
      </c>
    </row>
    <row r="17">
      <c r="A17" s="5" t="inlineStr">
        <is>
          <t>EP01</t>
        </is>
      </c>
      <c r="B17" s="5" t="inlineStr">
        <is>
          <t>EP01-US03</t>
        </is>
      </c>
      <c r="C17" s="5" t="inlineStr">
        <is>
          <t>Diseñar componente de lista dinámica de experiencias.</t>
        </is>
      </c>
      <c r="D17" s="6" t="n">
        <v>5</v>
      </c>
    </row>
    <row r="18">
      <c r="A18" s="5" t="inlineStr">
        <is>
          <t>EP01</t>
        </is>
      </c>
      <c r="B18" s="5" t="inlineStr">
        <is>
          <t>EP01-US03</t>
        </is>
      </c>
      <c r="C18" s="5" t="inlineStr">
        <is>
          <t>Implementar formulario para agregar nueva experiencia.</t>
        </is>
      </c>
      <c r="D18" s="6" t="n">
        <v>5</v>
      </c>
    </row>
    <row r="19">
      <c r="A19" s="5" t="inlineStr">
        <is>
          <t>EP01</t>
        </is>
      </c>
      <c r="B19" s="5" t="inlineStr">
        <is>
          <t>EP01-US03</t>
        </is>
      </c>
      <c r="C19" s="5" t="inlineStr">
        <is>
          <t>Implementar acciones de edición y eliminación de experiencias.</t>
        </is>
      </c>
      <c r="D19" s="6" t="n">
        <v>5</v>
      </c>
    </row>
    <row r="20">
      <c r="A20" s="5" t="inlineStr">
        <is>
          <t>EP01</t>
        </is>
      </c>
      <c r="B20" s="5" t="inlineStr">
        <is>
          <t>EP01-US04</t>
        </is>
      </c>
      <c r="C20" s="5" t="inlineStr">
        <is>
          <t>Verificar funcionamiento de endpoints de actualización por sección.</t>
        </is>
      </c>
      <c r="D20" s="6" t="n">
        <v>4</v>
      </c>
    </row>
    <row r="21">
      <c r="A21" s="5" t="inlineStr">
        <is>
          <t>EP01</t>
        </is>
      </c>
      <c r="B21" s="5" t="inlineStr">
        <is>
          <t>EP01-US04</t>
        </is>
      </c>
      <c r="C21" s="5" t="inlineStr">
        <is>
          <t>Implementar modo edición con pre-carga de datos actuales.</t>
        </is>
      </c>
      <c r="D21" s="6" t="n">
        <v>5</v>
      </c>
    </row>
    <row r="22">
      <c r="A22" s="5" t="inlineStr">
        <is>
          <t>EP01</t>
        </is>
      </c>
      <c r="B22" s="5" t="inlineStr">
        <is>
          <t>EP01-US04</t>
        </is>
      </c>
      <c r="C22" s="5" t="inlineStr">
        <is>
          <t>Implementar confirmación visual tras guardar cambios.</t>
        </is>
      </c>
      <c r="D22" s="6" t="n">
        <v>4</v>
      </c>
    </row>
    <row r="23">
      <c r="A23" s="5" t="inlineStr">
        <is>
          <t>EP01</t>
        </is>
      </c>
      <c r="B23" s="5" t="inlineStr">
        <is>
          <t>EP01-US05</t>
        </is>
      </c>
      <c r="C23" s="5" t="inlineStr">
        <is>
          <t>Implementar lógica de validación de campos obligatorios.</t>
        </is>
      </c>
      <c r="D23" s="6" t="n">
        <v>4</v>
      </c>
    </row>
    <row r="24">
      <c r="A24" s="5" t="inlineStr">
        <is>
          <t>EP01</t>
        </is>
      </c>
      <c r="B24" s="5" t="inlineStr">
        <is>
          <t>EP01-US05</t>
        </is>
      </c>
      <c r="C24" s="5" t="inlineStr">
        <is>
          <t>Implementar indicadores visuales de error por campo.</t>
        </is>
      </c>
      <c r="D24" s="6" t="n">
        <v>4</v>
      </c>
    </row>
    <row r="25">
      <c r="A25" s="5" t="inlineStr">
        <is>
          <t>EP01</t>
        </is>
      </c>
      <c r="B25" s="5" t="inlineStr">
        <is>
          <t>EP01-US05</t>
        </is>
      </c>
      <c r="C25" s="5" t="inlineStr">
        <is>
          <t>Implementar bloqueo del botón de guardado con campos incompletos.</t>
        </is>
      </c>
      <c r="D25" s="6" t="n">
        <v>4</v>
      </c>
    </row>
    <row r="26">
      <c r="A26" s="5" t="inlineStr">
        <is>
          <t>EP01</t>
        </is>
      </c>
      <c r="B26" s="5" t="inlineStr">
        <is>
          <t>EP01-US06</t>
        </is>
      </c>
      <c r="C26" s="5" t="inlineStr">
        <is>
          <t>Crear endpoint para obtener resumen consolidado del perfil.</t>
        </is>
      </c>
      <c r="D26" s="6" t="n">
        <v>5</v>
      </c>
    </row>
    <row r="27">
      <c r="A27" s="5" t="inlineStr">
        <is>
          <t>EP01</t>
        </is>
      </c>
      <c r="B27" s="5" t="inlineStr">
        <is>
          <t>EP01-US06</t>
        </is>
      </c>
      <c r="C27" s="5" t="inlineStr">
        <is>
          <t>Implementar cálculo de indicador de completitud del perfil.</t>
        </is>
      </c>
      <c r="D27" s="6" t="n">
        <v>5</v>
      </c>
    </row>
    <row r="28">
      <c r="A28" s="5" t="inlineStr">
        <is>
          <t>EP01</t>
        </is>
      </c>
      <c r="B28" s="5" t="inlineStr">
        <is>
          <t>EP01-US06</t>
        </is>
      </c>
      <c r="C28" s="5" t="inlineStr">
        <is>
          <t>Diseñar vista de resumen del perfil.</t>
        </is>
      </c>
      <c r="D28" s="6" t="n">
        <v>5</v>
      </c>
    </row>
    <row r="29">
      <c r="A29" s="5" t="inlineStr">
        <is>
          <t>EP01</t>
        </is>
      </c>
      <c r="B29" s="5" t="inlineStr">
        <is>
          <t>EP01-US06</t>
        </is>
      </c>
      <c r="C29" s="5" t="inlineStr">
        <is>
          <t>Implementar vista de resumen con estado de completitud por sección.</t>
        </is>
      </c>
      <c r="D29" s="6" t="n">
        <v>5</v>
      </c>
    </row>
    <row r="30">
      <c r="A30" s="5" t="inlineStr">
        <is>
          <t>EP01</t>
        </is>
      </c>
      <c r="B30" s="5" t="inlineStr">
        <is>
          <t>EP01-US06</t>
        </is>
      </c>
      <c r="C30" s="5" t="inlineStr">
        <is>
          <t>Implementar accesos directos de edición desde el resumen.</t>
        </is>
      </c>
      <c r="D30" s="6" t="n">
        <v>4</v>
      </c>
    </row>
    <row r="31">
      <c r="A31" s="5" t="inlineStr">
        <is>
          <t>EP02</t>
        </is>
      </c>
      <c r="B31" s="5" t="inlineStr">
        <is>
          <t>EP02-US01</t>
        </is>
      </c>
      <c r="C31" s="5" t="inlineStr">
        <is>
          <t>Crear tabla de encuestas en base de datos.</t>
        </is>
      </c>
      <c r="D31" s="6" t="n">
        <v>4</v>
      </c>
    </row>
    <row r="32">
      <c r="A32" s="5" t="inlineStr">
        <is>
          <t>EP02</t>
        </is>
      </c>
      <c r="B32" s="5" t="inlineStr">
        <is>
          <t>EP02-US01</t>
        </is>
      </c>
      <c r="C32" s="5" t="inlineStr">
        <is>
          <t>Crear tabla de secciones de encuesta en base de datos.</t>
        </is>
      </c>
      <c r="D32" s="6" t="n">
        <v>4</v>
      </c>
    </row>
    <row r="33">
      <c r="A33" s="5" t="inlineStr">
        <is>
          <t>EP02</t>
        </is>
      </c>
      <c r="B33" s="5" t="inlineStr">
        <is>
          <t>EP02-US01</t>
        </is>
      </c>
      <c r="C33" s="5" t="inlineStr">
        <is>
          <t>Crear endpoint para obtener la encuesta con sus secciones.</t>
        </is>
      </c>
      <c r="D33" s="6" t="n">
        <v>5</v>
      </c>
    </row>
    <row r="34">
      <c r="A34" s="5" t="inlineStr">
        <is>
          <t>EP02</t>
        </is>
      </c>
      <c r="B34" s="5" t="inlineStr">
        <is>
          <t>EP02-US01</t>
        </is>
      </c>
      <c r="C34" s="5" t="inlineStr">
        <is>
          <t>Implementar validación de acceso solo a usuarios con perfil completo.</t>
        </is>
      </c>
      <c r="D34" s="6" t="n">
        <v>5</v>
      </c>
    </row>
    <row r="35">
      <c r="A35" s="5" t="inlineStr">
        <is>
          <t>EP02</t>
        </is>
      </c>
      <c r="B35" s="5" t="inlineStr">
        <is>
          <t>EP02-US01</t>
        </is>
      </c>
      <c r="C35" s="5" t="inlineStr">
        <is>
          <t>Diseñar pantalla principal de la encuesta.</t>
        </is>
      </c>
      <c r="D35" s="6" t="n">
        <v>5</v>
      </c>
    </row>
    <row r="36">
      <c r="A36" s="5" t="inlineStr">
        <is>
          <t>EP02</t>
        </is>
      </c>
      <c r="B36" s="5" t="inlineStr">
        <is>
          <t>EP02-US01</t>
        </is>
      </c>
      <c r="C36" s="5" t="inlineStr">
        <is>
          <t>Implementar carga y visualización de la encuesta por secciones.</t>
        </is>
      </c>
      <c r="D36" s="6" t="n">
        <v>5</v>
      </c>
    </row>
    <row r="37">
      <c r="A37" s="5" t="inlineStr">
        <is>
          <t>EP02</t>
        </is>
      </c>
      <c r="B37" s="5" t="inlineStr">
        <is>
          <t>EP02-US02</t>
        </is>
      </c>
      <c r="C37" s="5" t="inlineStr">
        <is>
          <t>Diseñar componente de navegación entre secciones de la encuesta.</t>
        </is>
      </c>
      <c r="D37" s="6" t="n">
        <v>5</v>
      </c>
    </row>
    <row r="38">
      <c r="A38" s="5" t="inlineStr">
        <is>
          <t>EP02</t>
        </is>
      </c>
      <c r="B38" s="5" t="inlineStr">
        <is>
          <t>EP02-US02</t>
        </is>
      </c>
      <c r="C38" s="5" t="inlineStr">
        <is>
          <t>Implementar barra de progreso dinámica.</t>
        </is>
      </c>
      <c r="D38" s="6" t="n">
        <v>5</v>
      </c>
    </row>
    <row r="39">
      <c r="A39" s="5" t="inlineStr">
        <is>
          <t>EP02</t>
        </is>
      </c>
      <c r="B39" s="5" t="inlineStr">
        <is>
          <t>EP02-US02</t>
        </is>
      </c>
      <c r="C39" s="5" t="inlineStr">
        <is>
          <t>Implementar visualización de preguntas por sección.</t>
        </is>
      </c>
      <c r="D39" s="6" t="n">
        <v>5</v>
      </c>
    </row>
    <row r="40">
      <c r="A40" s="5" t="inlineStr">
        <is>
          <t>EP02</t>
        </is>
      </c>
      <c r="B40" s="5" t="inlineStr">
        <is>
          <t>EP02-US02</t>
        </is>
      </c>
      <c r="C40" s="5" t="inlineStr">
        <is>
          <t>Implementar diseño responsivo de la encuesta.</t>
        </is>
      </c>
      <c r="D40" s="6" t="n">
        <v>6</v>
      </c>
    </row>
    <row r="41">
      <c r="A41" s="5" t="inlineStr">
        <is>
          <t>EP02</t>
        </is>
      </c>
      <c r="B41" s="5" t="inlineStr">
        <is>
          <t>EP02-US03</t>
        </is>
      </c>
      <c r="C41" s="5" t="inlineStr">
        <is>
          <t>Implementar lógica de detección de preguntas sin responder.</t>
        </is>
      </c>
      <c r="D41" s="6" t="n">
        <v>5</v>
      </c>
    </row>
    <row r="42">
      <c r="A42" s="5" t="inlineStr">
        <is>
          <t>EP02</t>
        </is>
      </c>
      <c r="B42" s="5" t="inlineStr">
        <is>
          <t>EP02-US03</t>
        </is>
      </c>
      <c r="C42" s="5" t="inlineStr">
        <is>
          <t>Implementar indicadores visuales en preguntas pendientes.</t>
        </is>
      </c>
      <c r="D42" s="6" t="n">
        <v>4</v>
      </c>
    </row>
    <row r="43">
      <c r="A43" s="5" t="inlineStr">
        <is>
          <t>EP02</t>
        </is>
      </c>
      <c r="B43" s="5" t="inlineStr">
        <is>
          <t>EP02-US03</t>
        </is>
      </c>
      <c r="C43" s="5" t="inlineStr">
        <is>
          <t>Implementar bloqueo de avance con preguntas sin responder.</t>
        </is>
      </c>
      <c r="D43" s="6" t="n">
        <v>4</v>
      </c>
    </row>
    <row r="44">
      <c r="A44" s="5" t="inlineStr">
        <is>
          <t>EP02</t>
        </is>
      </c>
      <c r="B44" s="5" t="inlineStr">
        <is>
          <t>EP02-US03</t>
        </is>
      </c>
      <c r="C44" s="5" t="inlineStr">
        <is>
          <t>Implementar navegación directa a preguntas pendientes.</t>
        </is>
      </c>
      <c r="D44" s="6" t="n">
        <v>5</v>
      </c>
    </row>
    <row r="45">
      <c r="A45" s="5" t="inlineStr">
        <is>
          <t>EP02</t>
        </is>
      </c>
      <c r="B45" s="5" t="inlineStr">
        <is>
          <t>EP02-US04</t>
        </is>
      </c>
      <c r="C45" s="5" t="inlineStr">
        <is>
          <t>Crear tabla de respuestas en base de datos.</t>
        </is>
      </c>
      <c r="D45" s="6" t="n">
        <v>4</v>
      </c>
    </row>
    <row r="46">
      <c r="A46" s="5" t="inlineStr">
        <is>
          <t>EP02</t>
        </is>
      </c>
      <c r="B46" s="5" t="inlineStr">
        <is>
          <t>EP02-US04</t>
        </is>
      </c>
      <c r="C46" s="5" t="inlineStr">
        <is>
          <t>Crear endpoint para guardar respuestas parciales.</t>
        </is>
      </c>
      <c r="D46" s="6" t="n">
        <v>5</v>
      </c>
    </row>
    <row r="47">
      <c r="A47" s="5" t="inlineStr">
        <is>
          <t>EP02</t>
        </is>
      </c>
      <c r="B47" s="5" t="inlineStr">
        <is>
          <t>EP02-US04</t>
        </is>
      </c>
      <c r="C47" s="5" t="inlineStr">
        <is>
          <t>Crear endpoint para recuperar progreso guardado.</t>
        </is>
      </c>
      <c r="D47" s="6" t="n">
        <v>5</v>
      </c>
    </row>
    <row r="48">
      <c r="A48" s="5" t="inlineStr">
        <is>
          <t>EP02</t>
        </is>
      </c>
      <c r="B48" s="5" t="inlineStr">
        <is>
          <t>EP02-US04</t>
        </is>
      </c>
      <c r="C48" s="5" t="inlineStr">
        <is>
          <t>Implementar guardado automático al avanzar entre secciones.</t>
        </is>
      </c>
      <c r="D48" s="6" t="n">
        <v>6</v>
      </c>
    </row>
    <row r="49">
      <c r="A49" s="5" t="inlineStr">
        <is>
          <t>EP02</t>
        </is>
      </c>
      <c r="B49" s="5" t="inlineStr">
        <is>
          <t>EP02-US04</t>
        </is>
      </c>
      <c r="C49" s="5" t="inlineStr">
        <is>
          <t>Implementar indicador visual de guardado automático.</t>
        </is>
      </c>
      <c r="D49" s="6" t="n">
        <v>4</v>
      </c>
    </row>
    <row r="50">
      <c r="A50" s="5" t="inlineStr">
        <is>
          <t>EP02</t>
        </is>
      </c>
      <c r="B50" s="5" t="inlineStr">
        <is>
          <t>EP02-US04</t>
        </is>
      </c>
      <c r="C50" s="5" t="inlineStr">
        <is>
          <t>Implementar recuperación del progreso al reingresar a la encuesta.</t>
        </is>
      </c>
      <c r="D50" s="6" t="n">
        <v>6</v>
      </c>
    </row>
    <row r="51">
      <c r="A51" s="5" t="inlineStr">
        <is>
          <t>EP02</t>
        </is>
      </c>
      <c r="B51" s="5" t="inlineStr">
        <is>
          <t>EP02-US05</t>
        </is>
      </c>
      <c r="C51" s="5" t="inlineStr">
        <is>
          <t>Diseñar pantalla de resumen de respuestas antes del envío.</t>
        </is>
      </c>
      <c r="D51" s="6" t="n">
        <v>5</v>
      </c>
    </row>
    <row r="52">
      <c r="A52" s="5" t="inlineStr">
        <is>
          <t>EP02</t>
        </is>
      </c>
      <c r="B52" s="5" t="inlineStr">
        <is>
          <t>EP02-US05</t>
        </is>
      </c>
      <c r="C52" s="5" t="inlineStr">
        <is>
          <t>Implementar vista de resumen con todas las respuestas registradas.</t>
        </is>
      </c>
      <c r="D52" s="6" t="n">
        <v>5</v>
      </c>
    </row>
    <row r="53">
      <c r="A53" s="5" t="inlineStr">
        <is>
          <t>EP02</t>
        </is>
      </c>
      <c r="B53" s="5" t="inlineStr">
        <is>
          <t>EP02-US05</t>
        </is>
      </c>
      <c r="C53" s="5" t="inlineStr">
        <is>
          <t>Implementar navegación de retorno a cualquier sección desde el resumen.</t>
        </is>
      </c>
      <c r="D53" s="6" t="n">
        <v>5</v>
      </c>
    </row>
    <row r="54">
      <c r="A54" s="5" t="inlineStr">
        <is>
          <t>EP02</t>
        </is>
      </c>
      <c r="B54" s="5" t="inlineStr">
        <is>
          <t>EP02-US05</t>
        </is>
      </c>
      <c r="C54" s="5" t="inlineStr">
        <is>
          <t>Implementar guardado de cambios realizados desde el resumen.</t>
        </is>
      </c>
      <c r="D54" s="6" t="n">
        <v>5</v>
      </c>
    </row>
    <row r="55">
      <c r="A55" s="5" t="inlineStr">
        <is>
          <t>EP02</t>
        </is>
      </c>
      <c r="B55" s="5" t="inlineStr">
        <is>
          <t>EP02-US06</t>
        </is>
      </c>
      <c r="C55" s="5" t="inlineStr">
        <is>
          <t>Crear endpoint para envío definitivo de la encuesta.</t>
        </is>
      </c>
      <c r="D55" s="6" t="n">
        <v>5</v>
      </c>
    </row>
    <row r="56">
      <c r="A56" s="5" t="inlineStr">
        <is>
          <t>EP02</t>
        </is>
      </c>
      <c r="B56" s="5" t="inlineStr">
        <is>
          <t>EP02-US06</t>
        </is>
      </c>
      <c r="C56" s="5" t="inlineStr">
        <is>
          <t>Implementar lógica de bloqueo para evitar reenvíos.</t>
        </is>
      </c>
      <c r="D56" s="6" t="n">
        <v>4</v>
      </c>
    </row>
    <row r="57">
      <c r="A57" s="5" t="inlineStr">
        <is>
          <t>EP02</t>
        </is>
      </c>
      <c r="B57" s="5" t="inlineStr">
        <is>
          <t>EP02-US06</t>
        </is>
      </c>
      <c r="C57" s="5" t="inlineStr">
        <is>
          <t>Implementar pantalla de confirmación de envío exitoso.</t>
        </is>
      </c>
      <c r="D57" s="6" t="n">
        <v>4</v>
      </c>
    </row>
    <row r="58">
      <c r="A58" s="5" t="inlineStr">
        <is>
          <t>EP02</t>
        </is>
      </c>
      <c r="B58" s="5" t="inlineStr">
        <is>
          <t>EP02-US06</t>
        </is>
      </c>
      <c r="C58" s="5" t="inlineStr">
        <is>
          <t>Implementar envío de notificación o correo de confirmación al estudiante.</t>
        </is>
      </c>
      <c r="D58" s="6" t="n">
        <v>6</v>
      </c>
    </row>
    <row r="59">
      <c r="A59" s="5" t="inlineStr">
        <is>
          <t>EP03</t>
        </is>
      </c>
      <c r="B59" s="5" t="inlineStr">
        <is>
          <t>EP03-US01</t>
        </is>
      </c>
      <c r="C59" s="5" t="inlineStr">
        <is>
          <t>Crear tabla de carreras en base de datos.</t>
        </is>
      </c>
      <c r="D59" s="6" t="n">
        <v>4</v>
      </c>
    </row>
    <row r="60">
      <c r="A60" s="5" t="inlineStr">
        <is>
          <t>EP03</t>
        </is>
      </c>
      <c r="B60" s="5" t="inlineStr">
        <is>
          <t>EP03-US01</t>
        </is>
      </c>
      <c r="C60" s="5" t="inlineStr">
        <is>
          <t>Crear endpoint para registrar una carrera.</t>
        </is>
      </c>
      <c r="D60" s="6" t="n">
        <v>5</v>
      </c>
    </row>
    <row r="61">
      <c r="A61" s="5" t="inlineStr">
        <is>
          <t>EP03</t>
        </is>
      </c>
      <c r="B61" s="5" t="inlineStr">
        <is>
          <t>EP03-US01</t>
        </is>
      </c>
      <c r="C61" s="5" t="inlineStr">
        <is>
          <t>Implementar validación de carreras duplicadas.</t>
        </is>
      </c>
      <c r="D61" s="6" t="n">
        <v>4</v>
      </c>
    </row>
    <row r="62">
      <c r="A62" s="5" t="inlineStr">
        <is>
          <t>EP03</t>
        </is>
      </c>
      <c r="B62" s="5" t="inlineStr">
        <is>
          <t>EP03-US01</t>
        </is>
      </c>
      <c r="C62" s="5" t="inlineStr">
        <is>
          <t>Diseñar pantalla de registro de carrera para administrador.</t>
        </is>
      </c>
      <c r="D62" s="6" t="n">
        <v>5</v>
      </c>
    </row>
    <row r="63">
      <c r="A63" s="5" t="inlineStr">
        <is>
          <t>EP03</t>
        </is>
      </c>
      <c r="B63" s="5" t="inlineStr">
        <is>
          <t>EP03-US01</t>
        </is>
      </c>
      <c r="C63" s="5" t="inlineStr">
        <is>
          <t>Implementar formulario de registro de carrera con validaciones.</t>
        </is>
      </c>
      <c r="D63" s="6" t="n">
        <v>5</v>
      </c>
    </row>
    <row r="64">
      <c r="A64" s="5" t="inlineStr">
        <is>
          <t>EP03</t>
        </is>
      </c>
      <c r="B64" s="5" t="inlineStr">
        <is>
          <t>EP03-US02</t>
        </is>
      </c>
      <c r="C64" s="5" t="inlineStr">
        <is>
          <t>Crear tabla de áreas de conocimiento en base de datos.</t>
        </is>
      </c>
      <c r="D64" s="6" t="n">
        <v>4</v>
      </c>
    </row>
    <row r="65">
      <c r="A65" s="5" t="inlineStr">
        <is>
          <t>EP03</t>
        </is>
      </c>
      <c r="B65" s="5" t="inlineStr">
        <is>
          <t>EP03-US02</t>
        </is>
      </c>
      <c r="C65" s="5" t="inlineStr">
        <is>
          <t>Crear tabla de relación entre carreras y áreas de conocimiento.</t>
        </is>
      </c>
      <c r="D65" s="6" t="n">
        <v>4</v>
      </c>
    </row>
    <row r="66">
      <c r="A66" s="5" t="inlineStr">
        <is>
          <t>EP03</t>
        </is>
      </c>
      <c r="B66" s="5" t="inlineStr">
        <is>
          <t>EP03-US02</t>
        </is>
      </c>
      <c r="C66" s="5" t="inlineStr">
        <is>
          <t>Crear endpoint para asignar áreas de conocimiento a una carrera.</t>
        </is>
      </c>
      <c r="D66" s="6" t="n">
        <v>5</v>
      </c>
    </row>
    <row r="67">
      <c r="A67" s="5" t="inlineStr">
        <is>
          <t>EP03</t>
        </is>
      </c>
      <c r="B67" s="5" t="inlineStr">
        <is>
          <t>EP03-US02</t>
        </is>
      </c>
      <c r="C67" s="5" t="inlineStr">
        <is>
          <t>Implementar validación de al menos un área asignada por carrera.</t>
        </is>
      </c>
      <c r="D67" s="6" t="n">
        <v>4</v>
      </c>
    </row>
    <row r="68">
      <c r="A68" s="5" t="inlineStr">
        <is>
          <t>EP03</t>
        </is>
      </c>
      <c r="B68" s="5" t="inlineStr">
        <is>
          <t>EP03-US02</t>
        </is>
      </c>
      <c r="C68" s="5" t="inlineStr">
        <is>
          <t>Implementar selector múltiple de áreas en el formulario de carrera.</t>
        </is>
      </c>
      <c r="D68" s="6" t="n">
        <v>5</v>
      </c>
    </row>
    <row r="69">
      <c r="A69" s="5" t="inlineStr">
        <is>
          <t>EP03</t>
        </is>
      </c>
      <c r="B69" s="5" t="inlineStr">
        <is>
          <t>EP03-US03</t>
        </is>
      </c>
      <c r="C69" s="5" t="inlineStr">
        <is>
          <t>Crear endpoint para actualizar información de una carrera.</t>
        </is>
      </c>
      <c r="D69" s="6" t="n">
        <v>4</v>
      </c>
    </row>
    <row r="70">
      <c r="A70" s="5" t="inlineStr">
        <is>
          <t>EP03</t>
        </is>
      </c>
      <c r="B70" s="5" t="inlineStr">
        <is>
          <t>EP03-US03</t>
        </is>
      </c>
      <c r="C70" s="5" t="inlineStr">
        <is>
          <t>Implementar modo edición con pre-carga de datos actuales.</t>
        </is>
      </c>
      <c r="D70" s="6" t="n">
        <v>5</v>
      </c>
    </row>
    <row r="71">
      <c r="A71" s="5" t="inlineStr">
        <is>
          <t>EP03</t>
        </is>
      </c>
      <c r="B71" s="5" t="inlineStr">
        <is>
          <t>EP03-US03</t>
        </is>
      </c>
      <c r="C71" s="5" t="inlineStr">
        <is>
          <t>Implementar confirmación visual tras guardar cambios.</t>
        </is>
      </c>
      <c r="D71" s="6" t="n">
        <v>4</v>
      </c>
    </row>
    <row r="72">
      <c r="A72" s="5" t="inlineStr">
        <is>
          <t>EP03</t>
        </is>
      </c>
      <c r="B72" s="5" t="inlineStr">
        <is>
          <t>EP03-US04</t>
        </is>
      </c>
      <c r="C72" s="5" t="inlineStr">
        <is>
          <t>Crear endpoint para obtener listado de carreras.</t>
        </is>
      </c>
      <c r="D72" s="6" t="n">
        <v>4</v>
      </c>
    </row>
    <row r="73">
      <c r="A73" s="5" t="inlineStr">
        <is>
          <t>EP03</t>
        </is>
      </c>
      <c r="B73" s="5" t="inlineStr">
        <is>
          <t>EP03-US04</t>
        </is>
      </c>
      <c r="C73" s="5" t="inlineStr">
        <is>
          <t>Implementar búsqueda por nombre y área de conocimiento.</t>
        </is>
      </c>
      <c r="D73" s="6" t="n">
        <v>5</v>
      </c>
    </row>
    <row r="74">
      <c r="A74" s="5" t="inlineStr">
        <is>
          <t>EP03</t>
        </is>
      </c>
      <c r="B74" s="5" t="inlineStr">
        <is>
          <t>EP03-US04</t>
        </is>
      </c>
      <c r="C74" s="5" t="inlineStr">
        <is>
          <t>Diseñar pantalla de listado de carreras.</t>
        </is>
      </c>
      <c r="D74" s="6" t="n">
        <v>4</v>
      </c>
    </row>
    <row r="75">
      <c r="A75" s="5" t="inlineStr">
        <is>
          <t>EP03</t>
        </is>
      </c>
      <c r="B75" s="5" t="inlineStr">
        <is>
          <t>EP03-US04</t>
        </is>
      </c>
      <c r="C75" s="5" t="inlineStr">
        <is>
          <t>Implementar vista de listado con buscador.</t>
        </is>
      </c>
      <c r="D75" s="6" t="n">
        <v>5</v>
      </c>
    </row>
    <row r="76">
      <c r="A76" s="5" t="inlineStr">
        <is>
          <t>EP03</t>
        </is>
      </c>
      <c r="B76" s="5" t="inlineStr">
        <is>
          <t>EP03-US05</t>
        </is>
      </c>
      <c r="C76" s="5" t="inlineStr">
        <is>
          <t>Crear endpoint para obtener detalle de una carrera.</t>
        </is>
      </c>
      <c r="D76" s="6" t="n">
        <v>4</v>
      </c>
    </row>
    <row r="77">
      <c r="A77" s="5" t="inlineStr">
        <is>
          <t>EP03</t>
        </is>
      </c>
      <c r="B77" s="5" t="inlineStr">
        <is>
          <t>EP03-US05</t>
        </is>
      </c>
      <c r="C77" s="5" t="inlineStr">
        <is>
          <t>Diseñar pantalla de detalle de carrera.</t>
        </is>
      </c>
      <c r="D77" s="6" t="n">
        <v>4</v>
      </c>
    </row>
    <row r="78">
      <c r="A78" s="5" t="inlineStr">
        <is>
          <t>EP03</t>
        </is>
      </c>
      <c r="B78" s="5" t="inlineStr">
        <is>
          <t>EP03-US05</t>
        </is>
      </c>
      <c r="C78" s="5" t="inlineStr">
        <is>
          <t>Implementar vista de detalle con navegación de retorno al listado.</t>
        </is>
      </c>
      <c r="D78" s="6" t="n">
        <v>4</v>
      </c>
    </row>
    <row r="79">
      <c r="A79" s="5" t="inlineStr">
        <is>
          <t>EP03</t>
        </is>
      </c>
      <c r="B79" s="5" t="inlineStr">
        <is>
          <t>EP03-US06</t>
        </is>
      </c>
      <c r="C79" s="5" t="inlineStr">
        <is>
          <t>Crear tabla de habilidades en base de datos.</t>
        </is>
      </c>
      <c r="D79" s="6" t="n">
        <v>4</v>
      </c>
    </row>
    <row r="80">
      <c r="A80" s="5" t="inlineStr">
        <is>
          <t>EP03</t>
        </is>
      </c>
      <c r="B80" s="5" t="inlineStr">
        <is>
          <t>EP03-US06</t>
        </is>
      </c>
      <c r="C80" s="5" t="inlineStr">
        <is>
          <t>Crear tabla de intereses en base de datos.</t>
        </is>
      </c>
      <c r="D80" s="6" t="n">
        <v>4</v>
      </c>
    </row>
    <row r="81">
      <c r="A81" s="5" t="inlineStr">
        <is>
          <t>EP03</t>
        </is>
      </c>
      <c r="B81" s="5" t="inlineStr">
        <is>
          <t>EP03-US06</t>
        </is>
      </c>
      <c r="C81" s="5" t="inlineStr">
        <is>
          <t>Crear tablas de relación entre carreras y habilidades, y entre carreras e intereses.</t>
        </is>
      </c>
      <c r="D81" s="6" t="n">
        <v>5</v>
      </c>
    </row>
    <row r="82">
      <c r="A82" s="5" t="inlineStr">
        <is>
          <t>EP03</t>
        </is>
      </c>
      <c r="B82" s="5" t="inlineStr">
        <is>
          <t>EP03-US06</t>
        </is>
      </c>
      <c r="C82" s="5" t="inlineStr">
        <is>
          <t>Crear endpoint para asociar habilidades e intereses a una carrera.</t>
        </is>
      </c>
      <c r="D82" s="6" t="n">
        <v>5</v>
      </c>
    </row>
    <row r="83">
      <c r="A83" s="5" t="inlineStr">
        <is>
          <t>EP03</t>
        </is>
      </c>
      <c r="B83" s="5" t="inlineStr">
        <is>
          <t>EP03-US06</t>
        </is>
      </c>
      <c r="C83" s="5" t="inlineStr">
        <is>
          <t>Implementar validación de al menos una habilidad o interés asociado.</t>
        </is>
      </c>
      <c r="D83" s="6" t="n">
        <v>4</v>
      </c>
    </row>
    <row r="84">
      <c r="A84" s="5" t="inlineStr">
        <is>
          <t>EP03</t>
        </is>
      </c>
      <c r="B84" s="5" t="inlineStr">
        <is>
          <t>EP03-US06</t>
        </is>
      </c>
      <c r="C84" s="5" t="inlineStr">
        <is>
          <t>Diseñar componente de selección múltiple de habilidades e intereses.</t>
        </is>
      </c>
      <c r="D84" s="6" t="n">
        <v>5</v>
      </c>
    </row>
    <row r="85">
      <c r="A85" s="5" t="inlineStr">
        <is>
          <t>EP03</t>
        </is>
      </c>
      <c r="B85" s="5" t="inlineStr">
        <is>
          <t>EP03-US06</t>
        </is>
      </c>
      <c r="C85" s="5" t="inlineStr">
        <is>
          <t>Implementar asociación de habilidades e intereses desde el formulario de carrera.</t>
        </is>
      </c>
      <c r="D85" s="6" t="n">
        <v>6</v>
      </c>
    </row>
    <row r="86">
      <c r="A86" s="5" t="inlineStr">
        <is>
          <t>EP03</t>
        </is>
      </c>
      <c r="B86" s="5" t="inlineStr">
        <is>
          <t>EP03-US07</t>
        </is>
      </c>
      <c r="C86" s="5" t="inlineStr">
        <is>
          <t>Definir índices y relaciones en las tablas de carreras para optimizar consultas.</t>
        </is>
      </c>
      <c r="D86" s="6" t="n">
        <v>6</v>
      </c>
    </row>
    <row r="87">
      <c r="A87" s="5" t="inlineStr">
        <is>
          <t>EP03</t>
        </is>
      </c>
      <c r="B87" s="5" t="inlineStr">
        <is>
          <t>EP03-US07</t>
        </is>
      </c>
      <c r="C87" s="5" t="inlineStr">
        <is>
          <t>Implementar manejo de errores y recuperación ante fallos en los endpoints de carreras.</t>
        </is>
      </c>
      <c r="D87" s="6" t="n">
        <v>6</v>
      </c>
    </row>
    <row r="88">
      <c r="A88" s="5" t="inlineStr">
        <is>
          <t>EP03</t>
        </is>
      </c>
      <c r="B88" s="5" t="inlineStr">
        <is>
          <t>EP03-US07</t>
        </is>
      </c>
      <c r="C88" s="5" t="inlineStr">
        <is>
          <t>Implementar pruebas de carga para verificar tiempos de respuesta aceptables.</t>
        </is>
      </c>
      <c r="D88" s="6" t="n">
        <v>7</v>
      </c>
    </row>
    <row r="89">
      <c r="A89" s="5" t="inlineStr">
        <is>
          <t>EP04</t>
        </is>
      </c>
      <c r="B89" s="5" t="inlineStr">
        <is>
          <t>EP04-US01</t>
        </is>
      </c>
      <c r="C89" s="5" t="inlineStr">
        <is>
          <t>Desarrollar el motor de recomendación basado en reglas de ponderación y modelo de clasificación.</t>
        </is>
      </c>
      <c r="D89" s="6" t="n">
        <v>10</v>
      </c>
    </row>
    <row r="90">
      <c r="A90" s="5" t="inlineStr">
        <is>
          <t>EP04</t>
        </is>
      </c>
      <c r="B90" s="5" t="inlineStr">
        <is>
          <t>EP04-US01</t>
        </is>
      </c>
      <c r="C90" s="5" t="inlineStr">
        <is>
          <t>Implementar mecanismos de recuperación ante fallos para evitar pérdida de datos.</t>
        </is>
      </c>
      <c r="D90" s="6" t="n">
        <v>7</v>
      </c>
    </row>
    <row r="91">
      <c r="A91" s="5" t="inlineStr">
        <is>
          <t>EP04</t>
        </is>
      </c>
      <c r="B91" s="5" t="inlineStr">
        <is>
          <t>EP04-US01</t>
        </is>
      </c>
      <c r="C91" s="5" t="inlineStr">
        <is>
          <t>Validar que el sistema genere recomendaciones correctas según el perfil ingresado.</t>
        </is>
      </c>
      <c r="D91" s="6" t="n">
        <v>7</v>
      </c>
    </row>
    <row r="92">
      <c r="A92" s="5" t="inlineStr">
        <is>
          <t>EP04</t>
        </is>
      </c>
      <c r="B92" s="5" t="inlineStr">
        <is>
          <t>EP04-US01</t>
        </is>
      </c>
      <c r="C92" s="5" t="inlineStr">
        <is>
          <t>Implementar interfaz que muestre una barra de progreso para el análisis.</t>
        </is>
      </c>
      <c r="D92" s="6" t="n">
        <v>4</v>
      </c>
    </row>
    <row r="93">
      <c r="A93" s="5" t="inlineStr">
        <is>
          <t>EP04</t>
        </is>
      </c>
      <c r="B93" s="5" t="inlineStr">
        <is>
          <t>EP04-US02</t>
        </is>
      </c>
      <c r="C93" s="5" t="inlineStr">
        <is>
          <t>Implementar el algoritmo de comparación perfil-carrera.</t>
        </is>
      </c>
      <c r="D93" s="6" t="n">
        <v>9</v>
      </c>
    </row>
    <row r="94">
      <c r="A94" s="5" t="inlineStr">
        <is>
          <t>EP04</t>
        </is>
      </c>
      <c r="B94" s="5" t="inlineStr">
        <is>
          <t>EP04-US02</t>
        </is>
      </c>
      <c r="C94" s="5" t="inlineStr">
        <is>
          <t>Asegurar que, ante los mismos datos de entrada, el motor siempre produzca el mismo resultado.</t>
        </is>
      </c>
      <c r="D94" s="6" t="n">
        <v>7</v>
      </c>
    </row>
    <row r="95">
      <c r="A95" s="5" t="inlineStr">
        <is>
          <t>EP04</t>
        </is>
      </c>
      <c r="B95" s="5" t="inlineStr">
        <is>
          <t>EP04-US02</t>
        </is>
      </c>
      <c r="C95" s="5" t="inlineStr">
        <is>
          <t>Crear casos de prueba con perfiles idénticos y similares.</t>
        </is>
      </c>
      <c r="D95" s="6" t="n">
        <v>7</v>
      </c>
    </row>
    <row r="96">
      <c r="A96" s="5" t="inlineStr">
        <is>
          <t>EP04</t>
        </is>
      </c>
      <c r="B96" s="5" t="inlineStr">
        <is>
          <t>EP04-US03</t>
        </is>
      </c>
      <c r="C96" s="5" t="inlineStr">
        <is>
          <t>Definir las condiciones mínimas que debe cumplir un perfil.</t>
        </is>
      </c>
      <c r="D96" s="6" t="n">
        <v>5</v>
      </c>
    </row>
    <row r="97">
      <c r="A97" s="5" t="inlineStr">
        <is>
          <t>EP04</t>
        </is>
      </c>
      <c r="B97" s="5" t="inlineStr">
        <is>
          <t>EP04-US03</t>
        </is>
      </c>
      <c r="C97" s="5" t="inlineStr">
        <is>
          <t>Implementar validación del perfil antes de ejecutar el motor.</t>
        </is>
      </c>
      <c r="D97" s="6" t="n">
        <v>6</v>
      </c>
    </row>
    <row r="98">
      <c r="A98" s="5" t="inlineStr">
        <is>
          <t>EP04</t>
        </is>
      </c>
      <c r="B98" s="5" t="inlineStr">
        <is>
          <t>EP04-US03</t>
        </is>
      </c>
      <c r="C98" s="5" t="inlineStr">
        <is>
          <t>Diseñar la interfaz que da error al no encontrar coincidencias.</t>
        </is>
      </c>
      <c r="D98" s="6" t="n">
        <v>5</v>
      </c>
    </row>
    <row r="99">
      <c r="A99" s="5" t="inlineStr">
        <is>
          <t>EP05</t>
        </is>
      </c>
      <c r="B99" s="5" t="inlineStr">
        <is>
          <t>EP05-US01</t>
        </is>
      </c>
      <c r="C99" s="5" t="inlineStr">
        <is>
          <t>Implementar la función de cálculo de afinidad por carrera.</t>
        </is>
      </c>
      <c r="D99" s="6" t="n">
        <v>9</v>
      </c>
    </row>
    <row r="100">
      <c r="A100" s="5" t="inlineStr">
        <is>
          <t>EP05</t>
        </is>
      </c>
      <c r="B100" s="5" t="inlineStr">
        <is>
          <t>EP05-US01</t>
        </is>
      </c>
      <c r="C100" s="5" t="inlineStr">
        <is>
          <t>Implementar el ordenamiento descendente de la lista de carreras.</t>
        </is>
      </c>
      <c r="D100" s="6" t="n">
        <v>5</v>
      </c>
    </row>
    <row r="101">
      <c r="A101" s="5" t="inlineStr">
        <is>
          <t>EP05</t>
        </is>
      </c>
      <c r="B101" s="5" t="inlineStr">
        <is>
          <t>EP05-US02</t>
        </is>
      </c>
      <c r="C101" s="5" t="inlineStr">
        <is>
          <t>Tabla de configuración de umbrales.</t>
        </is>
      </c>
      <c r="D101" s="6" t="n">
        <v>5</v>
      </c>
    </row>
    <row r="102">
      <c r="A102" s="5" t="inlineStr">
        <is>
          <t>EP05</t>
        </is>
      </c>
      <c r="B102" s="5" t="inlineStr">
        <is>
          <t>EP05-US02</t>
        </is>
      </c>
      <c r="C102" s="5" t="inlineStr">
        <is>
          <t>Implementar la lectura dinámica de umbrales en el clasificador.</t>
        </is>
      </c>
      <c r="D102" s="6" t="n">
        <v>7</v>
      </c>
    </row>
    <row r="103">
      <c r="A103" s="5" t="inlineStr">
        <is>
          <t>EP05</t>
        </is>
      </c>
      <c r="B103" s="5" t="inlineStr">
        <is>
          <t>EP05-US02</t>
        </is>
      </c>
      <c r="C103" s="5" t="inlineStr">
        <is>
          <t>Validar que los umbrales configurados sean coherentes.</t>
        </is>
      </c>
      <c r="D103" s="6" t="n">
        <v>6</v>
      </c>
    </row>
    <row r="104">
      <c r="A104" s="5" t="inlineStr">
        <is>
          <t>EP05</t>
        </is>
      </c>
      <c r="B104" s="5" t="inlineStr">
        <is>
          <t>EP05-US02</t>
        </is>
      </c>
      <c r="C104" s="5" t="inlineStr">
        <is>
          <t>Interfaz que le permita al administrador cambiar los umbrales.</t>
        </is>
      </c>
      <c r="D104" s="6" t="n">
        <v>5</v>
      </c>
    </row>
    <row r="105">
      <c r="A105" s="5" t="inlineStr">
        <is>
          <t>EP05</t>
        </is>
      </c>
      <c r="B105" s="5" t="inlineStr">
        <is>
          <t>EP05-US02</t>
        </is>
      </c>
      <c r="C105" s="5" t="inlineStr">
        <is>
          <t>Endpoint que reciba los umbrales definidos por el administrador y los guarde.</t>
        </is>
      </c>
      <c r="D105" s="6" t="n">
        <v>5</v>
      </c>
    </row>
    <row r="106">
      <c r="A106" s="5" t="inlineStr">
        <is>
          <t>EP05</t>
        </is>
      </c>
      <c r="B106" s="5" t="inlineStr">
        <is>
          <t>EP05-US03</t>
        </is>
      </c>
      <c r="C106" s="5" t="inlineStr">
        <is>
          <t>Implementar función que valide 2 perfiles idénticos tras guardar nuevos umbrales.</t>
        </is>
      </c>
      <c r="D106" s="6" t="n">
        <v>7</v>
      </c>
    </row>
    <row r="107">
      <c r="A107" s="5" t="inlineStr">
        <is>
          <t>EP05</t>
        </is>
      </c>
      <c r="B107" s="5" t="inlineStr">
        <is>
          <t>EP05-US03</t>
        </is>
      </c>
      <c r="C107" s="5" t="inlineStr">
        <is>
          <t>Endpoint de validación de umbrales.</t>
        </is>
      </c>
      <c r="D107" s="6" t="n">
        <v>5</v>
      </c>
    </row>
    <row r="108">
      <c r="A108" s="5" t="inlineStr">
        <is>
          <t>EP05</t>
        </is>
      </c>
      <c r="B108" s="5" t="inlineStr">
        <is>
          <t>EP05-US03</t>
        </is>
      </c>
      <c r="C108" s="5" t="inlineStr">
        <is>
          <t>Interfaz que muestre si el algoritmo se ve afectado negativamente por los nuevos umbrales.</t>
        </is>
      </c>
      <c r="D108" s="6" t="n">
        <v>6</v>
      </c>
    </row>
    <row r="109">
      <c r="A109" s="5" t="inlineStr">
        <is>
          <t>EP05</t>
        </is>
      </c>
      <c r="B109" s="5" t="inlineStr">
        <is>
          <t>EP05-US03</t>
        </is>
      </c>
      <c r="C109" s="5" t="inlineStr">
        <is>
          <t>Botón en la interfaz que revierta los cambios a una versión estable.</t>
        </is>
      </c>
      <c r="D109" s="6" t="n">
        <v>5</v>
      </c>
    </row>
    <row r="110">
      <c r="A110" s="5" t="inlineStr">
        <is>
          <t>EP05</t>
        </is>
      </c>
      <c r="B110" s="5" t="inlineStr">
        <is>
          <t>EP05-US04</t>
        </is>
      </c>
      <c r="C110" s="5" t="inlineStr">
        <is>
          <t>Tabla con configuración de umbrales con fecha y hora, versión y métrica de evaluación.</t>
        </is>
      </c>
      <c r="D110" s="6" t="n">
        <v>5</v>
      </c>
    </row>
    <row r="111">
      <c r="A111" s="5" t="inlineStr">
        <is>
          <t>EP05</t>
        </is>
      </c>
      <c r="B111" s="5" t="inlineStr">
        <is>
          <t>EP05-US04</t>
        </is>
      </c>
      <c r="C111" s="5" t="inlineStr">
        <is>
          <t>Endpoint para consultar umbrales.</t>
        </is>
      </c>
      <c r="D111" s="6" t="n">
        <v>4</v>
      </c>
    </row>
    <row r="112">
      <c r="A112" s="5" t="inlineStr">
        <is>
          <t>EP05</t>
        </is>
      </c>
      <c r="B112" s="5" t="inlineStr">
        <is>
          <t>EP05-US04</t>
        </is>
      </c>
      <c r="C112" s="5" t="inlineStr">
        <is>
          <t>Interfaz que muestre el historial de los umbrales.</t>
        </is>
      </c>
      <c r="D112" s="6" t="n">
        <v>5</v>
      </c>
    </row>
    <row r="113">
      <c r="A113" s="5" t="inlineStr">
        <is>
          <t>EP05</t>
        </is>
      </c>
      <c r="B113" s="5" t="inlineStr">
        <is>
          <t>EP05-US04</t>
        </is>
      </c>
      <c r="C113" s="5" t="inlineStr">
        <is>
          <t>Desarrollar el cálculo y visualización de la métrica de distribución de carreras por nivel de afinidad.</t>
        </is>
      </c>
      <c r="D113" s="6" t="n">
        <v>9</v>
      </c>
    </row>
    <row r="114">
      <c r="A114" s="5" t="inlineStr">
        <is>
          <t>EP06</t>
        </is>
      </c>
      <c r="B114" s="5" t="inlineStr">
        <is>
          <t>EP06-US01</t>
        </is>
      </c>
      <c r="C114" s="5" t="inlineStr">
        <is>
          <t>Tabla que guarde el listado de carreras por usuario.</t>
        </is>
      </c>
      <c r="D114" s="6" t="n">
        <v>4</v>
      </c>
    </row>
    <row r="115">
      <c r="A115" s="5" t="inlineStr">
        <is>
          <t>EP06</t>
        </is>
      </c>
      <c r="B115" s="5" t="inlineStr">
        <is>
          <t>EP06-US01</t>
        </is>
      </c>
      <c r="C115" s="5" t="inlineStr">
        <is>
          <t>Endpoint para mostrar resultados del algoritmo.</t>
        </is>
      </c>
      <c r="D115" s="6" t="n">
        <v>5</v>
      </c>
    </row>
    <row r="116">
      <c r="A116" s="5" t="inlineStr">
        <is>
          <t>EP06</t>
        </is>
      </c>
      <c r="B116" s="5" t="inlineStr">
        <is>
          <t>EP06-US01</t>
        </is>
      </c>
      <c r="C116" s="5" t="inlineStr">
        <is>
          <t>Interfaz que muestre las carreras relacionadas con el perfil del usuario.</t>
        </is>
      </c>
      <c r="D116" s="6" t="n">
        <v>5</v>
      </c>
    </row>
    <row r="117">
      <c r="A117" s="5" t="inlineStr">
        <is>
          <t>EP06</t>
        </is>
      </c>
      <c r="B117" s="5" t="inlineStr">
        <is>
          <t>EP06-US02</t>
        </is>
      </c>
      <c r="C117" s="5" t="inlineStr">
        <is>
          <t>Crear función que consulte el resultado arrojado del algoritmo.</t>
        </is>
      </c>
      <c r="D117" s="6" t="n">
        <v>7</v>
      </c>
    </row>
    <row r="118">
      <c r="A118" s="5" t="inlineStr">
        <is>
          <t>EP06</t>
        </is>
      </c>
      <c r="B118" s="5" t="inlineStr">
        <is>
          <t>EP06-US02</t>
        </is>
      </c>
      <c r="C118" s="5" t="inlineStr">
        <is>
          <t>Endpoint que consulte la función anterior y muestre los resultados.</t>
        </is>
      </c>
      <c r="D118" s="6" t="n">
        <v>5</v>
      </c>
    </row>
    <row r="119">
      <c r="A119" s="5" t="inlineStr">
        <is>
          <t>EP06</t>
        </is>
      </c>
      <c r="B119" s="5" t="inlineStr">
        <is>
          <t>EP06-US02</t>
        </is>
      </c>
      <c r="C119" s="5" t="inlineStr">
        <is>
          <t>Interfaz que indique en cada carrera el nivel de afinidad y los motivos de la recomendación.</t>
        </is>
      </c>
      <c r="D119" s="6" t="n">
        <v>6</v>
      </c>
    </row>
    <row r="120">
      <c r="A120" s="5" t="inlineStr">
        <is>
          <t>EP06</t>
        </is>
      </c>
      <c r="B120" s="5" t="inlineStr">
        <is>
          <t>EP06-US03</t>
        </is>
      </c>
      <c r="C120" s="5" t="inlineStr">
        <is>
          <t>Crear un endpoint que despliegue la información de cada carrera.</t>
        </is>
      </c>
      <c r="D120" s="6" t="n">
        <v>5</v>
      </c>
    </row>
    <row r="121">
      <c r="A121" s="5" t="inlineStr">
        <is>
          <t>EP06</t>
        </is>
      </c>
      <c r="B121" s="5" t="inlineStr">
        <is>
          <t>EP06-US03</t>
        </is>
      </c>
      <c r="C121" s="5" t="inlineStr">
        <is>
          <t>Interfaz que muestre la información de las carreras.</t>
        </is>
      </c>
      <c r="D121" s="6" t="n">
        <v>5</v>
      </c>
    </row>
    <row r="122">
      <c r="A122" s="5" t="inlineStr">
        <is>
          <t>EP06</t>
        </is>
      </c>
      <c r="B122" s="5" t="inlineStr">
        <is>
          <t>EP06-US03</t>
        </is>
      </c>
      <c r="C122" s="5" t="inlineStr">
        <is>
          <t>Descripción: descripción de la carrera, qué se estudia y las metas a corto y largo plazo.</t>
        </is>
      </c>
      <c r="D122" s="6" t="n">
        <v>4</v>
      </c>
    </row>
    <row r="123">
      <c r="A123" s="5" t="inlineStr">
        <is>
          <t>EP06</t>
        </is>
      </c>
      <c r="B123" s="5" t="inlineStr">
        <is>
          <t>EP06-US03</t>
        </is>
      </c>
      <c r="C123" s="5" t="inlineStr">
        <is>
          <t>Aptitudes: aptitudes necesarias para tomar la carrera.</t>
        </is>
      </c>
      <c r="D123" s="6" t="n">
        <v>4</v>
      </c>
    </row>
    <row r="124">
      <c r="A124" s="5" t="inlineStr">
        <is>
          <t>EP06</t>
        </is>
      </c>
      <c r="B124" s="5" t="inlineStr">
        <is>
          <t>EP06-US03</t>
        </is>
      </c>
      <c r="C124" s="5" t="inlineStr">
        <is>
          <t>Pensum: cursos que se siguen en la carrera.</t>
        </is>
      </c>
      <c r="D124" s="6" t="n">
        <v>4</v>
      </c>
    </row>
    <row r="125">
      <c r="A125" s="5" t="inlineStr">
        <is>
          <t>EP06</t>
        </is>
      </c>
      <c r="B125" s="5" t="inlineStr">
        <is>
          <t>EP06-US03</t>
        </is>
      </c>
      <c r="C125" s="5" t="inlineStr">
        <is>
          <t>Campo Laboral: trabajos que puedes desempeñar y qué harás en el campo laboral.</t>
        </is>
      </c>
      <c r="D125" s="6" t="n">
        <v>4</v>
      </c>
    </row>
    <row r="126">
      <c r="A126" s="5" t="inlineStr">
        <is>
          <t>EP06</t>
        </is>
      </c>
      <c r="B126" s="5" t="inlineStr">
        <is>
          <t>EP06-US04</t>
        </is>
      </c>
      <c r="C126" s="5" t="inlineStr">
        <is>
          <t>Diseñar e implementar una base de datos basada en grafos para almacenar carreras y relaciones.</t>
        </is>
      </c>
      <c r="D126" s="6" t="n">
        <v>10</v>
      </c>
    </row>
    <row r="127">
      <c r="A127" s="5" t="inlineStr">
        <is>
          <t>EP06</t>
        </is>
      </c>
      <c r="B127" s="5" t="inlineStr">
        <is>
          <t>EP06-US04</t>
        </is>
      </c>
      <c r="C127" s="5" t="inlineStr">
        <is>
          <t>Desarrollar un endpoint de consulta de carreras relacionadas con justificación de la relación.</t>
        </is>
      </c>
      <c r="D127" s="6" t="n">
        <v>9</v>
      </c>
    </row>
    <row r="128">
      <c r="A128" s="5" t="inlineStr">
        <is>
          <t>EP06</t>
        </is>
      </c>
      <c r="B128" s="5" t="inlineStr">
        <is>
          <t>EP06-US04</t>
        </is>
      </c>
      <c r="C128" s="5" t="inlineStr">
        <is>
          <t>Implementar una interfaz con sección 'Carreras relacionadas' con listado vinculado.</t>
        </is>
      </c>
      <c r="D128" s="6" t="n">
        <v>7</v>
      </c>
    </row>
    <row r="129">
      <c r="A129" s="5" t="inlineStr">
        <is>
          <t>EP06</t>
        </is>
      </c>
      <c r="B129" s="5" t="inlineStr">
        <is>
          <t>EP06-US05</t>
        </is>
      </c>
      <c r="C129" s="5" t="inlineStr">
        <is>
          <t>Crear consultas que calculen estadísticas de recomendaciones por carrera.</t>
        </is>
      </c>
      <c r="D129" s="6" t="n">
        <v>6</v>
      </c>
    </row>
    <row r="130">
      <c r="A130" s="5" t="inlineStr">
        <is>
          <t>EP06</t>
        </is>
      </c>
      <c r="B130" s="5" t="inlineStr">
        <is>
          <t>EP06-US05</t>
        </is>
      </c>
      <c r="C130" s="5" t="inlineStr">
        <is>
          <t>Desarrollar un endpoint que permita obtener estadísticas de cada carrera.</t>
        </is>
      </c>
      <c r="D130" s="6" t="n">
        <v>5</v>
      </c>
    </row>
    <row r="131">
      <c r="A131" s="5" t="inlineStr">
        <is>
          <t>EP06</t>
        </is>
      </c>
      <c r="B131" s="5" t="inlineStr">
        <is>
          <t>EP06-US05</t>
        </is>
      </c>
      <c r="C131" s="5" t="inlineStr">
        <is>
          <t>Implementar una interfaz de administración que muestre métricas como número de recomendaciones y afinidad promedio.</t>
        </is>
      </c>
      <c r="D131" s="6" t="n">
        <v>7</v>
      </c>
    </row>
    <row r="132">
      <c r="A132" s="5" t="inlineStr">
        <is>
          <t>EP06</t>
        </is>
      </c>
      <c r="B132" s="5" t="inlineStr">
        <is>
          <t>EP06-US06</t>
        </is>
      </c>
      <c r="C132" s="5" t="inlineStr">
        <is>
          <t>Crear una función que obtenga los perfiles asociados a cada carrera recomendada.</t>
        </is>
      </c>
      <c r="D132" s="6" t="n">
        <v>6</v>
      </c>
    </row>
    <row r="133">
      <c r="A133" s="5" t="inlineStr">
        <is>
          <t>EP06</t>
        </is>
      </c>
      <c r="B133" s="5" t="inlineStr">
        <is>
          <t>EP06-US06</t>
        </is>
      </c>
      <c r="C133" s="5" t="inlineStr">
        <is>
          <t>Desarrollar un endpoint que permita consultar los perfiles relacionados con una carrera.</t>
        </is>
      </c>
      <c r="D133" s="6" t="n">
        <v>5</v>
      </c>
    </row>
    <row r="134">
      <c r="A134" s="5" t="inlineStr">
        <is>
          <t>EP06</t>
        </is>
      </c>
      <c r="B134" s="5" t="inlineStr">
        <is>
          <t>EP06-US06</t>
        </is>
      </c>
      <c r="C134" s="5" t="inlineStr">
        <is>
          <t>Implementar lógica que clasifique perfiles como potenciales estudiantes según nivel de afinidad.</t>
        </is>
      </c>
      <c r="D134" s="6" t="n">
        <v>6</v>
      </c>
    </row>
    <row r="135">
      <c r="A135" s="5" t="inlineStr">
        <is>
          <t>EP06</t>
        </is>
      </c>
      <c r="B135" s="5" t="inlineStr">
        <is>
          <t>EP06-US06</t>
        </is>
      </c>
      <c r="C135" s="5" t="inlineStr">
        <is>
          <t>Diseñar una interfaz de administración que muestre los perfiles y sus características principales.</t>
        </is>
      </c>
      <c r="D135" s="6" t="n">
        <v>6</v>
      </c>
    </row>
    <row r="136">
      <c r="C136" s="11" t="inlineStr">
        <is>
          <t>Total días</t>
        </is>
      </c>
      <c r="D136" s="17">
        <f>SUM(D3:D135)</f>
        <v/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70" customWidth="1" min="3" max="3"/>
    <col width="16" customWidth="1" min="4" max="4"/>
  </cols>
  <sheetData>
    <row r="1">
      <c r="A1" s="1" t="inlineStr">
        <is>
          <t>Tareas (con XP)</t>
        </is>
      </c>
      <c r="B1" s="2" t="n"/>
      <c r="C1" s="2" t="n"/>
      <c r="D1" s="3" t="n"/>
    </row>
    <row r="2">
      <c r="A2" s="1" t="inlineStr">
        <is>
          <t>Épica</t>
        </is>
      </c>
      <c r="B2" s="1" t="inlineStr">
        <is>
          <t>Historia de usuario</t>
        </is>
      </c>
      <c r="C2" s="1" t="inlineStr">
        <is>
          <t>Contenido</t>
        </is>
      </c>
      <c r="D2" s="1" t="inlineStr">
        <is>
          <t>Cantidad de días</t>
        </is>
      </c>
    </row>
    <row r="3">
      <c r="A3" s="5" t="inlineStr">
        <is>
          <t>EP01</t>
        </is>
      </c>
      <c r="B3" s="5" t="inlineStr">
        <is>
          <t>EP01-US01</t>
        </is>
      </c>
      <c r="C3" s="5" t="inlineStr">
        <is>
          <t>Crear tabla de usuarios en base de datos.</t>
        </is>
      </c>
      <c r="D3" s="6" t="n">
        <v>5</v>
      </c>
    </row>
    <row r="4">
      <c r="A4" s="5" t="inlineStr">
        <is>
          <t>EP01</t>
        </is>
      </c>
      <c r="B4" s="5" t="inlineStr">
        <is>
          <t>EP01-US01</t>
        </is>
      </c>
      <c r="C4" s="5" t="inlineStr">
        <is>
          <t>Crear endpoint para registro de usuario.</t>
        </is>
      </c>
      <c r="D4" s="6" t="n">
        <v>6</v>
      </c>
    </row>
    <row r="5">
      <c r="A5" s="5" t="inlineStr">
        <is>
          <t>EP01</t>
        </is>
      </c>
      <c r="B5" s="5" t="inlineStr">
        <is>
          <t>EP01-US01</t>
        </is>
      </c>
      <c r="C5" s="5" t="inlineStr">
        <is>
          <t>Implementar hashing seguro de contraseña.</t>
        </is>
      </c>
      <c r="D5" s="6" t="n">
        <v>6</v>
      </c>
    </row>
    <row r="6">
      <c r="A6" s="5" t="inlineStr">
        <is>
          <t>EP01</t>
        </is>
      </c>
      <c r="B6" s="5" t="inlineStr">
        <is>
          <t>EP01-US01</t>
        </is>
      </c>
      <c r="C6" s="5" t="inlineStr">
        <is>
          <t>Diseñar pantalla de registro.</t>
        </is>
      </c>
      <c r="D6" s="6" t="n">
        <v>5</v>
      </c>
    </row>
    <row r="7">
      <c r="A7" s="5" t="inlineStr">
        <is>
          <t>EP01</t>
        </is>
      </c>
      <c r="B7" s="5" t="inlineStr">
        <is>
          <t>EP01-US01</t>
        </is>
      </c>
      <c r="C7" s="5" t="inlineStr">
        <is>
          <t>Implementar formulario de registro con validaciones.</t>
        </is>
      </c>
      <c r="D7" s="6" t="n">
        <v>6</v>
      </c>
    </row>
    <row r="8">
      <c r="A8" s="5" t="inlineStr">
        <is>
          <t>EP01</t>
        </is>
      </c>
      <c r="B8" s="5" t="inlineStr">
        <is>
          <t>EP01-US01</t>
        </is>
      </c>
      <c r="C8" s="5" t="inlineStr">
        <is>
          <t>Implementar pantalla de confirmación de registro exitoso.</t>
        </is>
      </c>
      <c r="D8" s="6" t="n">
        <v>5</v>
      </c>
    </row>
    <row r="9">
      <c r="A9" s="5" t="inlineStr">
        <is>
          <t>EP01</t>
        </is>
      </c>
      <c r="B9" s="5" t="inlineStr">
        <is>
          <t>EP01-US02</t>
        </is>
      </c>
      <c r="C9" s="5" t="inlineStr">
        <is>
          <t>Crear tabla de perfil académico en base de datos.</t>
        </is>
      </c>
      <c r="D9" s="6" t="n">
        <v>5</v>
      </c>
    </row>
    <row r="10">
      <c r="A10" s="5" t="inlineStr">
        <is>
          <t>EP01</t>
        </is>
      </c>
      <c r="B10" s="5" t="inlineStr">
        <is>
          <t>EP01-US02</t>
        </is>
      </c>
      <c r="C10" s="5" t="inlineStr">
        <is>
          <t>Crear endpoints para guardar y actualizar información académica.</t>
        </is>
      </c>
      <c r="D10" s="6" t="n">
        <v>6</v>
      </c>
    </row>
    <row r="11">
      <c r="A11" s="5" t="inlineStr">
        <is>
          <t>EP01</t>
        </is>
      </c>
      <c r="B11" s="5" t="inlineStr">
        <is>
          <t>EP01-US02</t>
        </is>
      </c>
      <c r="C11" s="5" t="inlineStr">
        <is>
          <t>Implementar validaciones de campos del perfil académico.</t>
        </is>
      </c>
      <c r="D11" s="6" t="n">
        <v>5</v>
      </c>
    </row>
    <row r="12">
      <c r="A12" s="5" t="inlineStr">
        <is>
          <t>EP01</t>
        </is>
      </c>
      <c r="B12" s="5" t="inlineStr">
        <is>
          <t>EP01-US02</t>
        </is>
      </c>
      <c r="C12" s="5" t="inlineStr">
        <is>
          <t>Diseñar sección de perfil académico.</t>
        </is>
      </c>
      <c r="D12" s="6" t="n">
        <v>5</v>
      </c>
    </row>
    <row r="13">
      <c r="A13" s="5" t="inlineStr">
        <is>
          <t>EP01</t>
        </is>
      </c>
      <c r="B13" s="5" t="inlineStr">
        <is>
          <t>EP01-US02</t>
        </is>
      </c>
      <c r="C13" s="5" t="inlineStr">
        <is>
          <t>Implementar formulario de perfil académico con validaciones.</t>
        </is>
      </c>
      <c r="D13" s="6" t="n">
        <v>6</v>
      </c>
    </row>
    <row r="14">
      <c r="A14" s="5" t="inlineStr">
        <is>
          <t>EP01</t>
        </is>
      </c>
      <c r="B14" s="5" t="inlineStr">
        <is>
          <t>EP01-US03</t>
        </is>
      </c>
      <c r="C14" s="5" t="inlineStr">
        <is>
          <t>Crear tabla de experiencias en base de datos.</t>
        </is>
      </c>
      <c r="D14" s="6" t="n">
        <v>5</v>
      </c>
    </row>
    <row r="15">
      <c r="A15" s="5" t="inlineStr">
        <is>
          <t>EP01</t>
        </is>
      </c>
      <c r="B15" s="5" t="inlineStr">
        <is>
          <t>EP01-US03</t>
        </is>
      </c>
      <c r="C15" s="5" t="inlineStr">
        <is>
          <t>Crear endpoints para gestión de experiencias.</t>
        </is>
      </c>
      <c r="D15" s="6" t="n">
        <v>6</v>
      </c>
    </row>
    <row r="16">
      <c r="A16" s="5" t="inlineStr">
        <is>
          <t>EP01</t>
        </is>
      </c>
      <c r="B16" s="5" t="inlineStr">
        <is>
          <t>EP01-US03</t>
        </is>
      </c>
      <c r="C16" s="5" t="inlineStr">
        <is>
          <t>Implementar validaciones para el tipo y campos de experiencia.</t>
        </is>
      </c>
      <c r="D16" s="6" t="n">
        <v>5</v>
      </c>
    </row>
    <row r="17">
      <c r="A17" s="5" t="inlineStr">
        <is>
          <t>EP01</t>
        </is>
      </c>
      <c r="B17" s="5" t="inlineStr">
        <is>
          <t>EP01-US03</t>
        </is>
      </c>
      <c r="C17" s="5" t="inlineStr">
        <is>
          <t>Diseñar componente de lista dinámica de experiencias.</t>
        </is>
      </c>
      <c r="D17" s="6" t="n">
        <v>6</v>
      </c>
    </row>
    <row r="18">
      <c r="A18" s="5" t="inlineStr">
        <is>
          <t>EP01</t>
        </is>
      </c>
      <c r="B18" s="5" t="inlineStr">
        <is>
          <t>EP01-US03</t>
        </is>
      </c>
      <c r="C18" s="5" t="inlineStr">
        <is>
          <t>Implementar formulario para agregar nueva experiencia.</t>
        </is>
      </c>
      <c r="D18" s="6" t="n">
        <v>6</v>
      </c>
    </row>
    <row r="19">
      <c r="A19" s="5" t="inlineStr">
        <is>
          <t>EP01</t>
        </is>
      </c>
      <c r="B19" s="5" t="inlineStr">
        <is>
          <t>EP01-US03</t>
        </is>
      </c>
      <c r="C19" s="5" t="inlineStr">
        <is>
          <t>Implementar acciones de edición y eliminación de experiencias.</t>
        </is>
      </c>
      <c r="D19" s="6" t="n">
        <v>6</v>
      </c>
    </row>
    <row r="20">
      <c r="A20" s="5" t="inlineStr">
        <is>
          <t>EP01</t>
        </is>
      </c>
      <c r="B20" s="5" t="inlineStr">
        <is>
          <t>EP01-US04</t>
        </is>
      </c>
      <c r="C20" s="5" t="inlineStr">
        <is>
          <t>Verificar funcionamiento de endpoints de actualización por sección.</t>
        </is>
      </c>
      <c r="D20" s="6" t="n">
        <v>5</v>
      </c>
    </row>
    <row r="21">
      <c r="A21" s="5" t="inlineStr">
        <is>
          <t>EP01</t>
        </is>
      </c>
      <c r="B21" s="5" t="inlineStr">
        <is>
          <t>EP01-US04</t>
        </is>
      </c>
      <c r="C21" s="5" t="inlineStr">
        <is>
          <t>Implementar modo edición con pre-carga de datos actuales.</t>
        </is>
      </c>
      <c r="D21" s="6" t="n">
        <v>6</v>
      </c>
    </row>
    <row r="22">
      <c r="A22" s="5" t="inlineStr">
        <is>
          <t>EP01</t>
        </is>
      </c>
      <c r="B22" s="5" t="inlineStr">
        <is>
          <t>EP01-US04</t>
        </is>
      </c>
      <c r="C22" s="5" t="inlineStr">
        <is>
          <t>Implementar confirmación visual tras guardar cambios.</t>
        </is>
      </c>
      <c r="D22" s="6" t="n">
        <v>5</v>
      </c>
    </row>
    <row r="23">
      <c r="A23" s="5" t="inlineStr">
        <is>
          <t>EP01</t>
        </is>
      </c>
      <c r="B23" s="5" t="inlineStr">
        <is>
          <t>EP01-US05</t>
        </is>
      </c>
      <c r="C23" s="5" t="inlineStr">
        <is>
          <t>Implementar lógica de validación de campos obligatorios.</t>
        </is>
      </c>
      <c r="D23" s="6" t="n">
        <v>5</v>
      </c>
    </row>
    <row r="24">
      <c r="A24" s="5" t="inlineStr">
        <is>
          <t>EP01</t>
        </is>
      </c>
      <c r="B24" s="5" t="inlineStr">
        <is>
          <t>EP01-US05</t>
        </is>
      </c>
      <c r="C24" s="5" t="inlineStr">
        <is>
          <t>Implementar indicadores visuales de error por campo.</t>
        </is>
      </c>
      <c r="D24" s="6" t="n">
        <v>5</v>
      </c>
    </row>
    <row r="25">
      <c r="A25" s="5" t="inlineStr">
        <is>
          <t>EP01</t>
        </is>
      </c>
      <c r="B25" s="5" t="inlineStr">
        <is>
          <t>EP01-US05</t>
        </is>
      </c>
      <c r="C25" s="5" t="inlineStr">
        <is>
          <t>Implementar bloqueo del botón de guardado con campos incompletos.</t>
        </is>
      </c>
      <c r="D25" s="6" t="n">
        <v>5</v>
      </c>
    </row>
    <row r="26">
      <c r="A26" s="5" t="inlineStr">
        <is>
          <t>EP01</t>
        </is>
      </c>
      <c r="B26" s="5" t="inlineStr">
        <is>
          <t>EP01-US06</t>
        </is>
      </c>
      <c r="C26" s="5" t="inlineStr">
        <is>
          <t>Crear endpoint para obtener resumen consolidado del perfil.</t>
        </is>
      </c>
      <c r="D26" s="6" t="n">
        <v>6</v>
      </c>
    </row>
    <row r="27">
      <c r="A27" s="5" t="inlineStr">
        <is>
          <t>EP01</t>
        </is>
      </c>
      <c r="B27" s="5" t="inlineStr">
        <is>
          <t>EP01-US06</t>
        </is>
      </c>
      <c r="C27" s="5" t="inlineStr">
        <is>
          <t>Implementar cálculo de indicador de completitud del perfil.</t>
        </is>
      </c>
      <c r="D27" s="6" t="n">
        <v>6</v>
      </c>
    </row>
    <row r="28">
      <c r="A28" s="5" t="inlineStr">
        <is>
          <t>EP01</t>
        </is>
      </c>
      <c r="B28" s="5" t="inlineStr">
        <is>
          <t>EP01-US06</t>
        </is>
      </c>
      <c r="C28" s="5" t="inlineStr">
        <is>
          <t>Diseñar vista de resumen del perfil.</t>
        </is>
      </c>
      <c r="D28" s="6" t="n">
        <v>6</v>
      </c>
    </row>
    <row r="29">
      <c r="A29" s="5" t="inlineStr">
        <is>
          <t>EP01</t>
        </is>
      </c>
      <c r="B29" s="5" t="inlineStr">
        <is>
          <t>EP01-US06</t>
        </is>
      </c>
      <c r="C29" s="5" t="inlineStr">
        <is>
          <t>Implementar vista de resumen con estado de completitud por sección.</t>
        </is>
      </c>
      <c r="D29" s="6" t="n">
        <v>6</v>
      </c>
    </row>
    <row r="30">
      <c r="A30" s="5" t="inlineStr">
        <is>
          <t>EP01</t>
        </is>
      </c>
      <c r="B30" s="5" t="inlineStr">
        <is>
          <t>EP01-US06</t>
        </is>
      </c>
      <c r="C30" s="5" t="inlineStr">
        <is>
          <t>Implementar accesos directos de edición desde el resumen.</t>
        </is>
      </c>
      <c r="D30" s="6" t="n">
        <v>5</v>
      </c>
    </row>
    <row r="31">
      <c r="A31" s="5" t="inlineStr">
        <is>
          <t>EP02</t>
        </is>
      </c>
      <c r="B31" s="5" t="inlineStr">
        <is>
          <t>EP02-US01</t>
        </is>
      </c>
      <c r="C31" s="5" t="inlineStr">
        <is>
          <t>Crear tabla de encuestas en base de datos.</t>
        </is>
      </c>
      <c r="D31" s="6" t="n">
        <v>5</v>
      </c>
    </row>
    <row r="32">
      <c r="A32" s="5" t="inlineStr">
        <is>
          <t>EP02</t>
        </is>
      </c>
      <c r="B32" s="5" t="inlineStr">
        <is>
          <t>EP02-US01</t>
        </is>
      </c>
      <c r="C32" s="5" t="inlineStr">
        <is>
          <t>Crear tabla de secciones de encuesta en base de datos.</t>
        </is>
      </c>
      <c r="D32" s="6" t="n">
        <v>5</v>
      </c>
    </row>
    <row r="33">
      <c r="A33" s="5" t="inlineStr">
        <is>
          <t>EP02</t>
        </is>
      </c>
      <c r="B33" s="5" t="inlineStr">
        <is>
          <t>EP02-US01</t>
        </is>
      </c>
      <c r="C33" s="5" t="inlineStr">
        <is>
          <t>Crear endpoint para obtener la encuesta con sus secciones.</t>
        </is>
      </c>
      <c r="D33" s="6" t="n">
        <v>6</v>
      </c>
    </row>
    <row r="34">
      <c r="A34" s="5" t="inlineStr">
        <is>
          <t>EP02</t>
        </is>
      </c>
      <c r="B34" s="5" t="inlineStr">
        <is>
          <t>EP02-US01</t>
        </is>
      </c>
      <c r="C34" s="5" t="inlineStr">
        <is>
          <t>Implementar validación de acceso solo a usuarios con perfil completo.</t>
        </is>
      </c>
      <c r="D34" s="6" t="n">
        <v>6</v>
      </c>
    </row>
    <row r="35">
      <c r="A35" s="5" t="inlineStr">
        <is>
          <t>EP02</t>
        </is>
      </c>
      <c r="B35" s="5" t="inlineStr">
        <is>
          <t>EP02-US01</t>
        </is>
      </c>
      <c r="C35" s="5" t="inlineStr">
        <is>
          <t>Diseñar pantalla principal de la encuesta.</t>
        </is>
      </c>
      <c r="D35" s="6" t="n">
        <v>6</v>
      </c>
    </row>
    <row r="36">
      <c r="A36" s="5" t="inlineStr">
        <is>
          <t>EP02</t>
        </is>
      </c>
      <c r="B36" s="5" t="inlineStr">
        <is>
          <t>EP02-US01</t>
        </is>
      </c>
      <c r="C36" s="5" t="inlineStr">
        <is>
          <t>Implementar carga y visualización de la encuesta por secciones.</t>
        </is>
      </c>
      <c r="D36" s="6" t="n">
        <v>6</v>
      </c>
    </row>
    <row r="37">
      <c r="A37" s="5" t="inlineStr">
        <is>
          <t>EP02</t>
        </is>
      </c>
      <c r="B37" s="5" t="inlineStr">
        <is>
          <t>EP02-US02</t>
        </is>
      </c>
      <c r="C37" s="5" t="inlineStr">
        <is>
          <t>Diseñar componente de navegación entre secciones de la encuesta.</t>
        </is>
      </c>
      <c r="D37" s="6" t="n">
        <v>6</v>
      </c>
    </row>
    <row r="38">
      <c r="A38" s="5" t="inlineStr">
        <is>
          <t>EP02</t>
        </is>
      </c>
      <c r="B38" s="5" t="inlineStr">
        <is>
          <t>EP02-US02</t>
        </is>
      </c>
      <c r="C38" s="5" t="inlineStr">
        <is>
          <t>Implementar barra de progreso dinámica.</t>
        </is>
      </c>
      <c r="D38" s="6" t="n">
        <v>6</v>
      </c>
    </row>
    <row r="39">
      <c r="A39" s="5" t="inlineStr">
        <is>
          <t>EP02</t>
        </is>
      </c>
      <c r="B39" s="5" t="inlineStr">
        <is>
          <t>EP02-US02</t>
        </is>
      </c>
      <c r="C39" s="5" t="inlineStr">
        <is>
          <t>Implementar visualización de preguntas por sección.</t>
        </is>
      </c>
      <c r="D39" s="6" t="n">
        <v>6</v>
      </c>
    </row>
    <row r="40">
      <c r="A40" s="5" t="inlineStr">
        <is>
          <t>EP02</t>
        </is>
      </c>
      <c r="B40" s="5" t="inlineStr">
        <is>
          <t>EP02-US02</t>
        </is>
      </c>
      <c r="C40" s="5" t="inlineStr">
        <is>
          <t>Implementar diseño responsivo de la encuesta.</t>
        </is>
      </c>
      <c r="D40" s="6" t="n">
        <v>7</v>
      </c>
    </row>
    <row r="41">
      <c r="A41" s="5" t="inlineStr">
        <is>
          <t>EP02</t>
        </is>
      </c>
      <c r="B41" s="5" t="inlineStr">
        <is>
          <t>EP02-US03</t>
        </is>
      </c>
      <c r="C41" s="5" t="inlineStr">
        <is>
          <t>Implementar lógica de detección de preguntas sin responder.</t>
        </is>
      </c>
      <c r="D41" s="6" t="n">
        <v>6</v>
      </c>
    </row>
    <row r="42">
      <c r="A42" s="5" t="inlineStr">
        <is>
          <t>EP02</t>
        </is>
      </c>
      <c r="B42" s="5" t="inlineStr">
        <is>
          <t>EP02-US03</t>
        </is>
      </c>
      <c r="C42" s="5" t="inlineStr">
        <is>
          <t>Implementar indicadores visuales en preguntas pendientes.</t>
        </is>
      </c>
      <c r="D42" s="6" t="n">
        <v>5</v>
      </c>
    </row>
    <row r="43">
      <c r="A43" s="5" t="inlineStr">
        <is>
          <t>EP02</t>
        </is>
      </c>
      <c r="B43" s="5" t="inlineStr">
        <is>
          <t>EP02-US03</t>
        </is>
      </c>
      <c r="C43" s="5" t="inlineStr">
        <is>
          <t>Implementar bloqueo de avance con preguntas sin responder.</t>
        </is>
      </c>
      <c r="D43" s="6" t="n">
        <v>5</v>
      </c>
    </row>
    <row r="44">
      <c r="A44" s="5" t="inlineStr">
        <is>
          <t>EP02</t>
        </is>
      </c>
      <c r="B44" s="5" t="inlineStr">
        <is>
          <t>EP02-US03</t>
        </is>
      </c>
      <c r="C44" s="5" t="inlineStr">
        <is>
          <t>Implementar navegación directa a preguntas pendientes.</t>
        </is>
      </c>
      <c r="D44" s="6" t="n">
        <v>6</v>
      </c>
    </row>
    <row r="45">
      <c r="A45" s="5" t="inlineStr">
        <is>
          <t>EP02</t>
        </is>
      </c>
      <c r="B45" s="5" t="inlineStr">
        <is>
          <t>EP02-US04</t>
        </is>
      </c>
      <c r="C45" s="5" t="inlineStr">
        <is>
          <t>Crear tabla de respuestas en base de datos.</t>
        </is>
      </c>
      <c r="D45" s="6" t="n">
        <v>5</v>
      </c>
    </row>
    <row r="46">
      <c r="A46" s="5" t="inlineStr">
        <is>
          <t>EP02</t>
        </is>
      </c>
      <c r="B46" s="5" t="inlineStr">
        <is>
          <t>EP02-US04</t>
        </is>
      </c>
      <c r="C46" s="5" t="inlineStr">
        <is>
          <t>Crear endpoint para guardar respuestas parciales.</t>
        </is>
      </c>
      <c r="D46" s="6" t="n">
        <v>6</v>
      </c>
    </row>
    <row r="47">
      <c r="A47" s="5" t="inlineStr">
        <is>
          <t>EP02</t>
        </is>
      </c>
      <c r="B47" s="5" t="inlineStr">
        <is>
          <t>EP02-US04</t>
        </is>
      </c>
      <c r="C47" s="5" t="inlineStr">
        <is>
          <t>Crear endpoint para recuperar progreso guardado.</t>
        </is>
      </c>
      <c r="D47" s="6" t="n">
        <v>6</v>
      </c>
    </row>
    <row r="48">
      <c r="A48" s="5" t="inlineStr">
        <is>
          <t>EP02</t>
        </is>
      </c>
      <c r="B48" s="5" t="inlineStr">
        <is>
          <t>EP02-US04</t>
        </is>
      </c>
      <c r="C48" s="5" t="inlineStr">
        <is>
          <t>Implementar guardado automático al avanzar entre secciones.</t>
        </is>
      </c>
      <c r="D48" s="6" t="n">
        <v>7</v>
      </c>
    </row>
    <row r="49">
      <c r="A49" s="5" t="inlineStr">
        <is>
          <t>EP02</t>
        </is>
      </c>
      <c r="B49" s="5" t="inlineStr">
        <is>
          <t>EP02-US04</t>
        </is>
      </c>
      <c r="C49" s="5" t="inlineStr">
        <is>
          <t>Implementar indicador visual de guardado automático.</t>
        </is>
      </c>
      <c r="D49" s="6" t="n">
        <v>5</v>
      </c>
    </row>
    <row r="50">
      <c r="A50" s="5" t="inlineStr">
        <is>
          <t>EP02</t>
        </is>
      </c>
      <c r="B50" s="5" t="inlineStr">
        <is>
          <t>EP02-US04</t>
        </is>
      </c>
      <c r="C50" s="5" t="inlineStr">
        <is>
          <t>Implementar recuperación del progreso al reingresar a la encuesta.</t>
        </is>
      </c>
      <c r="D50" s="6" t="n">
        <v>7</v>
      </c>
    </row>
    <row r="51">
      <c r="A51" s="5" t="inlineStr">
        <is>
          <t>EP02</t>
        </is>
      </c>
      <c r="B51" s="5" t="inlineStr">
        <is>
          <t>EP02-US05</t>
        </is>
      </c>
      <c r="C51" s="5" t="inlineStr">
        <is>
          <t>Diseñar pantalla de resumen de respuestas antes del envío.</t>
        </is>
      </c>
      <c r="D51" s="6" t="n">
        <v>6</v>
      </c>
    </row>
    <row r="52">
      <c r="A52" s="5" t="inlineStr">
        <is>
          <t>EP02</t>
        </is>
      </c>
      <c r="B52" s="5" t="inlineStr">
        <is>
          <t>EP02-US05</t>
        </is>
      </c>
      <c r="C52" s="5" t="inlineStr">
        <is>
          <t>Implementar vista de resumen con todas las respuestas registradas.</t>
        </is>
      </c>
      <c r="D52" s="6" t="n">
        <v>6</v>
      </c>
    </row>
    <row r="53">
      <c r="A53" s="5" t="inlineStr">
        <is>
          <t>EP02</t>
        </is>
      </c>
      <c r="B53" s="5" t="inlineStr">
        <is>
          <t>EP02-US05</t>
        </is>
      </c>
      <c r="C53" s="5" t="inlineStr">
        <is>
          <t>Implementar navegación de retorno a cualquier sección desde el resumen.</t>
        </is>
      </c>
      <c r="D53" s="6" t="n">
        <v>6</v>
      </c>
    </row>
    <row r="54">
      <c r="A54" s="5" t="inlineStr">
        <is>
          <t>EP02</t>
        </is>
      </c>
      <c r="B54" s="5" t="inlineStr">
        <is>
          <t>EP02-US05</t>
        </is>
      </c>
      <c r="C54" s="5" t="inlineStr">
        <is>
          <t>Implementar guardado de cambios realizados desde el resumen.</t>
        </is>
      </c>
      <c r="D54" s="6" t="n">
        <v>6</v>
      </c>
    </row>
    <row r="55">
      <c r="A55" s="5" t="inlineStr">
        <is>
          <t>EP02</t>
        </is>
      </c>
      <c r="B55" s="5" t="inlineStr">
        <is>
          <t>EP02-US06</t>
        </is>
      </c>
      <c r="C55" s="5" t="inlineStr">
        <is>
          <t>Crear endpoint para envío definitivo de la encuesta.</t>
        </is>
      </c>
      <c r="D55" s="6" t="n">
        <v>6</v>
      </c>
    </row>
    <row r="56">
      <c r="A56" s="5" t="inlineStr">
        <is>
          <t>EP02</t>
        </is>
      </c>
      <c r="B56" s="5" t="inlineStr">
        <is>
          <t>EP02-US06</t>
        </is>
      </c>
      <c r="C56" s="5" t="inlineStr">
        <is>
          <t>Implementar lógica de bloqueo para evitar reenvíos.</t>
        </is>
      </c>
      <c r="D56" s="6" t="n">
        <v>5</v>
      </c>
    </row>
    <row r="57">
      <c r="A57" s="5" t="inlineStr">
        <is>
          <t>EP02</t>
        </is>
      </c>
      <c r="B57" s="5" t="inlineStr">
        <is>
          <t>EP02-US06</t>
        </is>
      </c>
      <c r="C57" s="5" t="inlineStr">
        <is>
          <t>Implementar pantalla de confirmación de envío exitoso.</t>
        </is>
      </c>
      <c r="D57" s="6" t="n">
        <v>5</v>
      </c>
    </row>
    <row r="58">
      <c r="A58" s="5" t="inlineStr">
        <is>
          <t>EP02</t>
        </is>
      </c>
      <c r="B58" s="5" t="inlineStr">
        <is>
          <t>EP02-US06</t>
        </is>
      </c>
      <c r="C58" s="5" t="inlineStr">
        <is>
          <t>Implementar envío de notificación o correo de confirmación al estudiante.</t>
        </is>
      </c>
      <c r="D58" s="6" t="n">
        <v>7</v>
      </c>
    </row>
    <row r="59">
      <c r="A59" s="5" t="inlineStr">
        <is>
          <t>EP03</t>
        </is>
      </c>
      <c r="B59" s="5" t="inlineStr">
        <is>
          <t>EP03-US01</t>
        </is>
      </c>
      <c r="C59" s="5" t="inlineStr">
        <is>
          <t>Crear tabla de carreras en base de datos.</t>
        </is>
      </c>
      <c r="D59" s="6" t="n">
        <v>5</v>
      </c>
    </row>
    <row r="60">
      <c r="A60" s="5" t="inlineStr">
        <is>
          <t>EP03</t>
        </is>
      </c>
      <c r="B60" s="5" t="inlineStr">
        <is>
          <t>EP03-US01</t>
        </is>
      </c>
      <c r="C60" s="5" t="inlineStr">
        <is>
          <t>Crear endpoint para registrar una carrera.</t>
        </is>
      </c>
      <c r="D60" s="6" t="n">
        <v>6</v>
      </c>
    </row>
    <row r="61">
      <c r="A61" s="5" t="inlineStr">
        <is>
          <t>EP03</t>
        </is>
      </c>
      <c r="B61" s="5" t="inlineStr">
        <is>
          <t>EP03-US01</t>
        </is>
      </c>
      <c r="C61" s="5" t="inlineStr">
        <is>
          <t>Implementar validación de carreras duplicadas.</t>
        </is>
      </c>
      <c r="D61" s="6" t="n">
        <v>5</v>
      </c>
    </row>
    <row r="62">
      <c r="A62" s="5" t="inlineStr">
        <is>
          <t>EP03</t>
        </is>
      </c>
      <c r="B62" s="5" t="inlineStr">
        <is>
          <t>EP03-US01</t>
        </is>
      </c>
      <c r="C62" s="5" t="inlineStr">
        <is>
          <t>Diseñar pantalla de registro de carrera para administrador.</t>
        </is>
      </c>
      <c r="D62" s="6" t="n">
        <v>6</v>
      </c>
    </row>
    <row r="63">
      <c r="A63" s="5" t="inlineStr">
        <is>
          <t>EP03</t>
        </is>
      </c>
      <c r="B63" s="5" t="inlineStr">
        <is>
          <t>EP03-US01</t>
        </is>
      </c>
      <c r="C63" s="5" t="inlineStr">
        <is>
          <t>Implementar formulario de registro de carrera con validaciones.</t>
        </is>
      </c>
      <c r="D63" s="6" t="n">
        <v>6</v>
      </c>
    </row>
    <row r="64">
      <c r="A64" s="5" t="inlineStr">
        <is>
          <t>EP03</t>
        </is>
      </c>
      <c r="B64" s="5" t="inlineStr">
        <is>
          <t>EP03-US02</t>
        </is>
      </c>
      <c r="C64" s="5" t="inlineStr">
        <is>
          <t>Crear tabla de áreas de conocimiento en base de datos.</t>
        </is>
      </c>
      <c r="D64" s="6" t="n">
        <v>5</v>
      </c>
    </row>
    <row r="65">
      <c r="A65" s="5" t="inlineStr">
        <is>
          <t>EP03</t>
        </is>
      </c>
      <c r="B65" s="5" t="inlineStr">
        <is>
          <t>EP03-US02</t>
        </is>
      </c>
      <c r="C65" s="5" t="inlineStr">
        <is>
          <t>Crear tabla de relación entre carreras y áreas de conocimiento.</t>
        </is>
      </c>
      <c r="D65" s="6" t="n">
        <v>5</v>
      </c>
    </row>
    <row r="66">
      <c r="A66" s="5" t="inlineStr">
        <is>
          <t>EP03</t>
        </is>
      </c>
      <c r="B66" s="5" t="inlineStr">
        <is>
          <t>EP03-US02</t>
        </is>
      </c>
      <c r="C66" s="5" t="inlineStr">
        <is>
          <t>Crear endpoint para asignar áreas de conocimiento a una carrera.</t>
        </is>
      </c>
      <c r="D66" s="6" t="n">
        <v>6</v>
      </c>
    </row>
    <row r="67">
      <c r="A67" s="5" t="inlineStr">
        <is>
          <t>EP03</t>
        </is>
      </c>
      <c r="B67" s="5" t="inlineStr">
        <is>
          <t>EP03-US02</t>
        </is>
      </c>
      <c r="C67" s="5" t="inlineStr">
        <is>
          <t>Implementar validación de al menos un área asignada por carrera.</t>
        </is>
      </c>
      <c r="D67" s="6" t="n">
        <v>5</v>
      </c>
    </row>
    <row r="68">
      <c r="A68" s="5" t="inlineStr">
        <is>
          <t>EP03</t>
        </is>
      </c>
      <c r="B68" s="5" t="inlineStr">
        <is>
          <t>EP03-US02</t>
        </is>
      </c>
      <c r="C68" s="5" t="inlineStr">
        <is>
          <t>Implementar selector múltiple de áreas en el formulario de carrera.</t>
        </is>
      </c>
      <c r="D68" s="6" t="n">
        <v>6</v>
      </c>
    </row>
    <row r="69">
      <c r="A69" s="5" t="inlineStr">
        <is>
          <t>EP03</t>
        </is>
      </c>
      <c r="B69" s="5" t="inlineStr">
        <is>
          <t>EP03-US03</t>
        </is>
      </c>
      <c r="C69" s="5" t="inlineStr">
        <is>
          <t>Crear endpoint para actualizar información de una carrera.</t>
        </is>
      </c>
      <c r="D69" s="6" t="n">
        <v>5</v>
      </c>
    </row>
    <row r="70">
      <c r="A70" s="5" t="inlineStr">
        <is>
          <t>EP03</t>
        </is>
      </c>
      <c r="B70" s="5" t="inlineStr">
        <is>
          <t>EP03-US03</t>
        </is>
      </c>
      <c r="C70" s="5" t="inlineStr">
        <is>
          <t>Implementar modo edición con pre-carga de datos actuales.</t>
        </is>
      </c>
      <c r="D70" s="6" t="n">
        <v>6</v>
      </c>
    </row>
    <row r="71">
      <c r="A71" s="5" t="inlineStr">
        <is>
          <t>EP03</t>
        </is>
      </c>
      <c r="B71" s="5" t="inlineStr">
        <is>
          <t>EP03-US03</t>
        </is>
      </c>
      <c r="C71" s="5" t="inlineStr">
        <is>
          <t>Implementar confirmación visual tras guardar cambios.</t>
        </is>
      </c>
      <c r="D71" s="6" t="n">
        <v>5</v>
      </c>
    </row>
    <row r="72">
      <c r="A72" s="5" t="inlineStr">
        <is>
          <t>EP03</t>
        </is>
      </c>
      <c r="B72" s="5" t="inlineStr">
        <is>
          <t>EP03-US04</t>
        </is>
      </c>
      <c r="C72" s="5" t="inlineStr">
        <is>
          <t>Crear endpoint para obtener listado de carreras.</t>
        </is>
      </c>
      <c r="D72" s="6" t="n">
        <v>5</v>
      </c>
    </row>
    <row r="73">
      <c r="A73" s="5" t="inlineStr">
        <is>
          <t>EP03</t>
        </is>
      </c>
      <c r="B73" s="5" t="inlineStr">
        <is>
          <t>EP03-US04</t>
        </is>
      </c>
      <c r="C73" s="5" t="inlineStr">
        <is>
          <t>Implementar búsqueda por nombre y área de conocimiento.</t>
        </is>
      </c>
      <c r="D73" s="6" t="n">
        <v>6</v>
      </c>
    </row>
    <row r="74">
      <c r="A74" s="5" t="inlineStr">
        <is>
          <t>EP03</t>
        </is>
      </c>
      <c r="B74" s="5" t="inlineStr">
        <is>
          <t>EP03-US04</t>
        </is>
      </c>
      <c r="C74" s="5" t="inlineStr">
        <is>
          <t>Diseñar pantalla de listado de carreras.</t>
        </is>
      </c>
      <c r="D74" s="6" t="n">
        <v>5</v>
      </c>
    </row>
    <row r="75">
      <c r="A75" s="5" t="inlineStr">
        <is>
          <t>EP03</t>
        </is>
      </c>
      <c r="B75" s="5" t="inlineStr">
        <is>
          <t>EP03-US04</t>
        </is>
      </c>
      <c r="C75" s="5" t="inlineStr">
        <is>
          <t>Implementar vista de listado con buscador.</t>
        </is>
      </c>
      <c r="D75" s="6" t="n">
        <v>6</v>
      </c>
    </row>
    <row r="76">
      <c r="A76" s="5" t="inlineStr">
        <is>
          <t>EP03</t>
        </is>
      </c>
      <c r="B76" s="5" t="inlineStr">
        <is>
          <t>EP03-US05</t>
        </is>
      </c>
      <c r="C76" s="5" t="inlineStr">
        <is>
          <t>Crear endpoint para obtener detalle de una carrera.</t>
        </is>
      </c>
      <c r="D76" s="6" t="n">
        <v>5</v>
      </c>
    </row>
    <row r="77">
      <c r="A77" s="5" t="inlineStr">
        <is>
          <t>EP03</t>
        </is>
      </c>
      <c r="B77" s="5" t="inlineStr">
        <is>
          <t>EP03-US05</t>
        </is>
      </c>
      <c r="C77" s="5" t="inlineStr">
        <is>
          <t>Diseñar pantalla de detalle de carrera.</t>
        </is>
      </c>
      <c r="D77" s="6" t="n">
        <v>5</v>
      </c>
    </row>
    <row r="78">
      <c r="A78" s="5" t="inlineStr">
        <is>
          <t>EP03</t>
        </is>
      </c>
      <c r="B78" s="5" t="inlineStr">
        <is>
          <t>EP03-US05</t>
        </is>
      </c>
      <c r="C78" s="5" t="inlineStr">
        <is>
          <t>Implementar vista de detalle con navegación de retorno al listado.</t>
        </is>
      </c>
      <c r="D78" s="6" t="n">
        <v>5</v>
      </c>
    </row>
    <row r="79">
      <c r="A79" s="5" t="inlineStr">
        <is>
          <t>EP03</t>
        </is>
      </c>
      <c r="B79" s="5" t="inlineStr">
        <is>
          <t>EP03-US06</t>
        </is>
      </c>
      <c r="C79" s="5" t="inlineStr">
        <is>
          <t>Crear tabla de habilidades en base de datos.</t>
        </is>
      </c>
      <c r="D79" s="6" t="n">
        <v>5</v>
      </c>
    </row>
    <row r="80">
      <c r="A80" s="5" t="inlineStr">
        <is>
          <t>EP03</t>
        </is>
      </c>
      <c r="B80" s="5" t="inlineStr">
        <is>
          <t>EP03-US06</t>
        </is>
      </c>
      <c r="C80" s="5" t="inlineStr">
        <is>
          <t>Crear tabla de intereses en base de datos.</t>
        </is>
      </c>
      <c r="D80" s="6" t="n">
        <v>5</v>
      </c>
    </row>
    <row r="81">
      <c r="A81" s="5" t="inlineStr">
        <is>
          <t>EP03</t>
        </is>
      </c>
      <c r="B81" s="5" t="inlineStr">
        <is>
          <t>EP03-US06</t>
        </is>
      </c>
      <c r="C81" s="5" t="inlineStr">
        <is>
          <t>Crear tablas de relación entre carreras y habilidades, y entre carreras e intereses.</t>
        </is>
      </c>
      <c r="D81" s="6" t="n">
        <v>6</v>
      </c>
    </row>
    <row r="82">
      <c r="A82" s="5" t="inlineStr">
        <is>
          <t>EP03</t>
        </is>
      </c>
      <c r="B82" s="5" t="inlineStr">
        <is>
          <t>EP03-US06</t>
        </is>
      </c>
      <c r="C82" s="5" t="inlineStr">
        <is>
          <t>Crear endpoint para asociar habilidades e intereses a una carrera.</t>
        </is>
      </c>
      <c r="D82" s="6" t="n">
        <v>6</v>
      </c>
    </row>
    <row r="83">
      <c r="A83" s="5" t="inlineStr">
        <is>
          <t>EP03</t>
        </is>
      </c>
      <c r="B83" s="5" t="inlineStr">
        <is>
          <t>EP03-US06</t>
        </is>
      </c>
      <c r="C83" s="5" t="inlineStr">
        <is>
          <t>Implementar validación de al menos una habilidad o interés asociado.</t>
        </is>
      </c>
      <c r="D83" s="6" t="n">
        <v>5</v>
      </c>
    </row>
    <row r="84">
      <c r="A84" s="5" t="inlineStr">
        <is>
          <t>EP03</t>
        </is>
      </c>
      <c r="B84" s="5" t="inlineStr">
        <is>
          <t>EP03-US06</t>
        </is>
      </c>
      <c r="C84" s="5" t="inlineStr">
        <is>
          <t>Diseñar componente de selección múltiple de habilidades e intereses.</t>
        </is>
      </c>
      <c r="D84" s="6" t="n">
        <v>6</v>
      </c>
    </row>
    <row r="85">
      <c r="A85" s="5" t="inlineStr">
        <is>
          <t>EP03</t>
        </is>
      </c>
      <c r="B85" s="5" t="inlineStr">
        <is>
          <t>EP03-US06</t>
        </is>
      </c>
      <c r="C85" s="5" t="inlineStr">
        <is>
          <t>Implementar asociación de habilidades e intereses desde el formulario de carrera.</t>
        </is>
      </c>
      <c r="D85" s="6" t="n">
        <v>7</v>
      </c>
    </row>
    <row r="86">
      <c r="A86" s="5" t="inlineStr">
        <is>
          <t>EP03</t>
        </is>
      </c>
      <c r="B86" s="5" t="inlineStr">
        <is>
          <t>EP03-US07</t>
        </is>
      </c>
      <c r="C86" s="5" t="inlineStr">
        <is>
          <t>Definir índices y relaciones en las tablas de carreras para optimizar consultas.</t>
        </is>
      </c>
      <c r="D86" s="6" t="n">
        <v>7</v>
      </c>
    </row>
    <row r="87">
      <c r="A87" s="5" t="inlineStr">
        <is>
          <t>EP03</t>
        </is>
      </c>
      <c r="B87" s="5" t="inlineStr">
        <is>
          <t>EP03-US07</t>
        </is>
      </c>
      <c r="C87" s="5" t="inlineStr">
        <is>
          <t>Implementar manejo de errores y recuperación ante fallos en los endpoints de carreras.</t>
        </is>
      </c>
      <c r="D87" s="6" t="n">
        <v>7</v>
      </c>
    </row>
    <row r="88">
      <c r="A88" s="5" t="inlineStr">
        <is>
          <t>EP03</t>
        </is>
      </c>
      <c r="B88" s="5" t="inlineStr">
        <is>
          <t>EP03-US07</t>
        </is>
      </c>
      <c r="C88" s="5" t="inlineStr">
        <is>
          <t>Implementar pruebas de carga para verificar tiempos de respuesta aceptables.</t>
        </is>
      </c>
      <c r="D88" s="6" t="n">
        <v>8</v>
      </c>
    </row>
    <row r="89">
      <c r="A89" s="5" t="inlineStr">
        <is>
          <t>EP04</t>
        </is>
      </c>
      <c r="B89" s="5" t="inlineStr">
        <is>
          <t>EP04-US01</t>
        </is>
      </c>
      <c r="C89" s="5" t="inlineStr">
        <is>
          <t>Desarrollar el motor de recomendación basado en reglas de ponderación y modelo de clasificación.</t>
        </is>
      </c>
      <c r="D89" s="6" t="n">
        <v>11</v>
      </c>
    </row>
    <row r="90">
      <c r="A90" s="5" t="inlineStr">
        <is>
          <t>EP04</t>
        </is>
      </c>
      <c r="B90" s="5" t="inlineStr">
        <is>
          <t>EP04-US01</t>
        </is>
      </c>
      <c r="C90" s="5" t="inlineStr">
        <is>
          <t>Implementar mecanismos de recuperación ante fallos para evitar pérdida de datos.</t>
        </is>
      </c>
      <c r="D90" s="6" t="n">
        <v>8</v>
      </c>
    </row>
    <row r="91">
      <c r="A91" s="5" t="inlineStr">
        <is>
          <t>EP04</t>
        </is>
      </c>
      <c r="B91" s="5" t="inlineStr">
        <is>
          <t>EP04-US01</t>
        </is>
      </c>
      <c r="C91" s="5" t="inlineStr">
        <is>
          <t>Validar que el sistema genere recomendaciones correctas según el perfil ingresado.</t>
        </is>
      </c>
      <c r="D91" s="6" t="n">
        <v>8</v>
      </c>
    </row>
    <row r="92">
      <c r="A92" s="5" t="inlineStr">
        <is>
          <t>EP04</t>
        </is>
      </c>
      <c r="B92" s="5" t="inlineStr">
        <is>
          <t>EP04-US01</t>
        </is>
      </c>
      <c r="C92" s="5" t="inlineStr">
        <is>
          <t>Implementar interfaz que muestre una barra de progreso para el análisis.</t>
        </is>
      </c>
      <c r="D92" s="6" t="n">
        <v>5</v>
      </c>
    </row>
    <row r="93">
      <c r="A93" s="5" t="inlineStr">
        <is>
          <t>EP04</t>
        </is>
      </c>
      <c r="B93" s="5" t="inlineStr">
        <is>
          <t>EP04-US02</t>
        </is>
      </c>
      <c r="C93" s="5" t="inlineStr">
        <is>
          <t>Implementar el algoritmo de comparación perfil-carrera.</t>
        </is>
      </c>
      <c r="D93" s="6" t="n">
        <v>10</v>
      </c>
    </row>
    <row r="94">
      <c r="A94" s="5" t="inlineStr">
        <is>
          <t>EP04</t>
        </is>
      </c>
      <c r="B94" s="5" t="inlineStr">
        <is>
          <t>EP04-US02</t>
        </is>
      </c>
      <c r="C94" s="5" t="inlineStr">
        <is>
          <t>Asegurar que, ante los mismos datos de entrada, el motor siempre produzca el mismo resultado.</t>
        </is>
      </c>
      <c r="D94" s="6" t="n">
        <v>8</v>
      </c>
    </row>
    <row r="95">
      <c r="A95" s="5" t="inlineStr">
        <is>
          <t>EP04</t>
        </is>
      </c>
      <c r="B95" s="5" t="inlineStr">
        <is>
          <t>EP04-US02</t>
        </is>
      </c>
      <c r="C95" s="5" t="inlineStr">
        <is>
          <t>Crear casos de prueba con perfiles idénticos y similares.</t>
        </is>
      </c>
      <c r="D95" s="6" t="n">
        <v>8</v>
      </c>
    </row>
    <row r="96">
      <c r="A96" s="5" t="inlineStr">
        <is>
          <t>EP04</t>
        </is>
      </c>
      <c r="B96" s="5" t="inlineStr">
        <is>
          <t>EP04-US03</t>
        </is>
      </c>
      <c r="C96" s="5" t="inlineStr">
        <is>
          <t>Definir las condiciones mínimas que debe cumplir un perfil.</t>
        </is>
      </c>
      <c r="D96" s="6" t="n">
        <v>6</v>
      </c>
    </row>
    <row r="97">
      <c r="A97" s="5" t="inlineStr">
        <is>
          <t>EP04</t>
        </is>
      </c>
      <c r="B97" s="5" t="inlineStr">
        <is>
          <t>EP04-US03</t>
        </is>
      </c>
      <c r="C97" s="5" t="inlineStr">
        <is>
          <t>Implementar validación del perfil antes de ejecutar el motor.</t>
        </is>
      </c>
      <c r="D97" s="6" t="n">
        <v>7</v>
      </c>
    </row>
    <row r="98">
      <c r="A98" s="5" t="inlineStr">
        <is>
          <t>EP04</t>
        </is>
      </c>
      <c r="B98" s="5" t="inlineStr">
        <is>
          <t>EP04-US03</t>
        </is>
      </c>
      <c r="C98" s="5" t="inlineStr">
        <is>
          <t>Diseñar la interfaz que da error al no encontrar coincidencias.</t>
        </is>
      </c>
      <c r="D98" s="6" t="n">
        <v>6</v>
      </c>
    </row>
    <row r="99">
      <c r="A99" s="5" t="inlineStr">
        <is>
          <t>EP05</t>
        </is>
      </c>
      <c r="B99" s="5" t="inlineStr">
        <is>
          <t>EP05-US01</t>
        </is>
      </c>
      <c r="C99" s="5" t="inlineStr">
        <is>
          <t>Implementar la función de cálculo de afinidad por carrera.</t>
        </is>
      </c>
      <c r="D99" s="6" t="n">
        <v>10</v>
      </c>
    </row>
    <row r="100">
      <c r="A100" s="5" t="inlineStr">
        <is>
          <t>EP05</t>
        </is>
      </c>
      <c r="B100" s="5" t="inlineStr">
        <is>
          <t>EP05-US01</t>
        </is>
      </c>
      <c r="C100" s="5" t="inlineStr">
        <is>
          <t>Implementar el ordenamiento descendente de la lista de carreras.</t>
        </is>
      </c>
      <c r="D100" s="6" t="n">
        <v>6</v>
      </c>
    </row>
    <row r="101">
      <c r="A101" s="5" t="inlineStr">
        <is>
          <t>EP05</t>
        </is>
      </c>
      <c r="B101" s="5" t="inlineStr">
        <is>
          <t>EP05-US02</t>
        </is>
      </c>
      <c r="C101" s="5" t="inlineStr">
        <is>
          <t>Tabla de configuración de umbrales.</t>
        </is>
      </c>
      <c r="D101" s="6" t="n">
        <v>6</v>
      </c>
    </row>
    <row r="102">
      <c r="A102" s="5" t="inlineStr">
        <is>
          <t>EP05</t>
        </is>
      </c>
      <c r="B102" s="5" t="inlineStr">
        <is>
          <t>EP05-US02</t>
        </is>
      </c>
      <c r="C102" s="5" t="inlineStr">
        <is>
          <t>Implementar la lectura dinámica de umbrales en el clasificador.</t>
        </is>
      </c>
      <c r="D102" s="6" t="n">
        <v>8</v>
      </c>
    </row>
    <row r="103">
      <c r="A103" s="5" t="inlineStr">
        <is>
          <t>EP05</t>
        </is>
      </c>
      <c r="B103" s="5" t="inlineStr">
        <is>
          <t>EP05-US02</t>
        </is>
      </c>
      <c r="C103" s="5" t="inlineStr">
        <is>
          <t>Validar que los umbrales configurados sean coherentes.</t>
        </is>
      </c>
      <c r="D103" s="6" t="n">
        <v>7</v>
      </c>
    </row>
    <row r="104">
      <c r="A104" s="5" t="inlineStr">
        <is>
          <t>EP05</t>
        </is>
      </c>
      <c r="B104" s="5" t="inlineStr">
        <is>
          <t>EP05-US02</t>
        </is>
      </c>
      <c r="C104" s="5" t="inlineStr">
        <is>
          <t>Interfaz que le permita al administrador cambiar los umbrales.</t>
        </is>
      </c>
      <c r="D104" s="6" t="n">
        <v>6</v>
      </c>
    </row>
    <row r="105">
      <c r="A105" s="5" t="inlineStr">
        <is>
          <t>EP05</t>
        </is>
      </c>
      <c r="B105" s="5" t="inlineStr">
        <is>
          <t>EP05-US02</t>
        </is>
      </c>
      <c r="C105" s="5" t="inlineStr">
        <is>
          <t>Endpoint que reciba los umbrales definidos por el administrador y los guarde.</t>
        </is>
      </c>
      <c r="D105" s="6" t="n">
        <v>6</v>
      </c>
    </row>
    <row r="106">
      <c r="A106" s="5" t="inlineStr">
        <is>
          <t>EP05</t>
        </is>
      </c>
      <c r="B106" s="5" t="inlineStr">
        <is>
          <t>EP05-US03</t>
        </is>
      </c>
      <c r="C106" s="5" t="inlineStr">
        <is>
          <t>Implementar función que valide 2 perfiles idénticos tras guardar nuevos umbrales.</t>
        </is>
      </c>
      <c r="D106" s="6" t="n">
        <v>8</v>
      </c>
    </row>
    <row r="107">
      <c r="A107" s="5" t="inlineStr">
        <is>
          <t>EP05</t>
        </is>
      </c>
      <c r="B107" s="5" t="inlineStr">
        <is>
          <t>EP05-US03</t>
        </is>
      </c>
      <c r="C107" s="5" t="inlineStr">
        <is>
          <t>Endpoint de validación de umbrales.</t>
        </is>
      </c>
      <c r="D107" s="6" t="n">
        <v>6</v>
      </c>
    </row>
    <row r="108">
      <c r="A108" s="5" t="inlineStr">
        <is>
          <t>EP05</t>
        </is>
      </c>
      <c r="B108" s="5" t="inlineStr">
        <is>
          <t>EP05-US03</t>
        </is>
      </c>
      <c r="C108" s="5" t="inlineStr">
        <is>
          <t>Interfaz que muestre si el algoritmo se ve afectado negativamente por los nuevos umbrales.</t>
        </is>
      </c>
      <c r="D108" s="6" t="n">
        <v>7</v>
      </c>
    </row>
    <row r="109">
      <c r="A109" s="5" t="inlineStr">
        <is>
          <t>EP05</t>
        </is>
      </c>
      <c r="B109" s="5" t="inlineStr">
        <is>
          <t>EP05-US03</t>
        </is>
      </c>
      <c r="C109" s="5" t="inlineStr">
        <is>
          <t>Botón en la interfaz que revierta los cambios a una versión estable.</t>
        </is>
      </c>
      <c r="D109" s="6" t="n">
        <v>6</v>
      </c>
    </row>
    <row r="110">
      <c r="A110" s="5" t="inlineStr">
        <is>
          <t>EP05</t>
        </is>
      </c>
      <c r="B110" s="5" t="inlineStr">
        <is>
          <t>EP05-US04</t>
        </is>
      </c>
      <c r="C110" s="5" t="inlineStr">
        <is>
          <t>Tabla con configuración de umbrales con fecha y hora, versión y métrica de evaluación.</t>
        </is>
      </c>
      <c r="D110" s="6" t="n">
        <v>6</v>
      </c>
    </row>
    <row r="111">
      <c r="A111" s="5" t="inlineStr">
        <is>
          <t>EP05</t>
        </is>
      </c>
      <c r="B111" s="5" t="inlineStr">
        <is>
          <t>EP05-US04</t>
        </is>
      </c>
      <c r="C111" s="5" t="inlineStr">
        <is>
          <t>Endpoint para consultar umbrales.</t>
        </is>
      </c>
      <c r="D111" s="6" t="n">
        <v>5</v>
      </c>
    </row>
    <row r="112">
      <c r="A112" s="5" t="inlineStr">
        <is>
          <t>EP05</t>
        </is>
      </c>
      <c r="B112" s="5" t="inlineStr">
        <is>
          <t>EP05-US04</t>
        </is>
      </c>
      <c r="C112" s="5" t="inlineStr">
        <is>
          <t>Interfaz que muestre el historial de los umbrales.</t>
        </is>
      </c>
      <c r="D112" s="6" t="n">
        <v>6</v>
      </c>
    </row>
    <row r="113">
      <c r="A113" s="5" t="inlineStr">
        <is>
          <t>EP05</t>
        </is>
      </c>
      <c r="B113" s="5" t="inlineStr">
        <is>
          <t>EP05-US04</t>
        </is>
      </c>
      <c r="C113" s="5" t="inlineStr">
        <is>
          <t>Desarrollar el cálculo y visualización de la métrica de distribución de carreras por nivel de afinidad.</t>
        </is>
      </c>
      <c r="D113" s="6" t="n">
        <v>10</v>
      </c>
    </row>
    <row r="114">
      <c r="A114" s="5" t="inlineStr">
        <is>
          <t>EP06</t>
        </is>
      </c>
      <c r="B114" s="5" t="inlineStr">
        <is>
          <t>EP06-US01</t>
        </is>
      </c>
      <c r="C114" s="5" t="inlineStr">
        <is>
          <t>Tabla que guarde el listado de carreras por usuario.</t>
        </is>
      </c>
      <c r="D114" s="6" t="n">
        <v>5</v>
      </c>
    </row>
    <row r="115">
      <c r="A115" s="5" t="inlineStr">
        <is>
          <t>EP06</t>
        </is>
      </c>
      <c r="B115" s="5" t="inlineStr">
        <is>
          <t>EP06-US01</t>
        </is>
      </c>
      <c r="C115" s="5" t="inlineStr">
        <is>
          <t>Endpoint para mostrar resultados del algoritmo.</t>
        </is>
      </c>
      <c r="D115" s="6" t="n">
        <v>6</v>
      </c>
    </row>
    <row r="116">
      <c r="A116" s="5" t="inlineStr">
        <is>
          <t>EP06</t>
        </is>
      </c>
      <c r="B116" s="5" t="inlineStr">
        <is>
          <t>EP06-US01</t>
        </is>
      </c>
      <c r="C116" s="5" t="inlineStr">
        <is>
          <t>Interfaz que muestre las carreras relacionadas con el perfil del usuario.</t>
        </is>
      </c>
      <c r="D116" s="6" t="n">
        <v>6</v>
      </c>
    </row>
    <row r="117">
      <c r="A117" s="5" t="inlineStr">
        <is>
          <t>EP06</t>
        </is>
      </c>
      <c r="B117" s="5" t="inlineStr">
        <is>
          <t>EP06-US02</t>
        </is>
      </c>
      <c r="C117" s="5" t="inlineStr">
        <is>
          <t>Crear función que consulte el resultado arrojado del algoritmo.</t>
        </is>
      </c>
      <c r="D117" s="6" t="n">
        <v>8</v>
      </c>
    </row>
    <row r="118">
      <c r="A118" s="5" t="inlineStr">
        <is>
          <t>EP06</t>
        </is>
      </c>
      <c r="B118" s="5" t="inlineStr">
        <is>
          <t>EP06-US02</t>
        </is>
      </c>
      <c r="C118" s="5" t="inlineStr">
        <is>
          <t>Endpoint que consulte la función anterior y muestre los resultados.</t>
        </is>
      </c>
      <c r="D118" s="6" t="n">
        <v>6</v>
      </c>
    </row>
    <row r="119">
      <c r="A119" s="5" t="inlineStr">
        <is>
          <t>EP06</t>
        </is>
      </c>
      <c r="B119" s="5" t="inlineStr">
        <is>
          <t>EP06-US02</t>
        </is>
      </c>
      <c r="C119" s="5" t="inlineStr">
        <is>
          <t>Interfaz que indique en cada carrera el nivel de afinidad y los motivos de la recomendación.</t>
        </is>
      </c>
      <c r="D119" s="6" t="n">
        <v>7</v>
      </c>
    </row>
    <row r="120">
      <c r="A120" s="5" t="inlineStr">
        <is>
          <t>EP06</t>
        </is>
      </c>
      <c r="B120" s="5" t="inlineStr">
        <is>
          <t>EP06-US03</t>
        </is>
      </c>
      <c r="C120" s="5" t="inlineStr">
        <is>
          <t>Crear un endpoint que despliegue la información de cada carrera.</t>
        </is>
      </c>
      <c r="D120" s="6" t="n">
        <v>6</v>
      </c>
    </row>
    <row r="121">
      <c r="A121" s="5" t="inlineStr">
        <is>
          <t>EP06</t>
        </is>
      </c>
      <c r="B121" s="5" t="inlineStr">
        <is>
          <t>EP06-US03</t>
        </is>
      </c>
      <c r="C121" s="5" t="inlineStr">
        <is>
          <t>Interfaz que muestre la información de las carreras.</t>
        </is>
      </c>
      <c r="D121" s="6" t="n">
        <v>6</v>
      </c>
    </row>
    <row r="122">
      <c r="A122" s="5" t="inlineStr">
        <is>
          <t>EP06</t>
        </is>
      </c>
      <c r="B122" s="5" t="inlineStr">
        <is>
          <t>EP06-US03</t>
        </is>
      </c>
      <c r="C122" s="5" t="inlineStr">
        <is>
          <t>Descripción: descripción de la carrera, qué se estudia y las metas a corto y largo plazo.</t>
        </is>
      </c>
      <c r="D122" s="6" t="n">
        <v>5</v>
      </c>
    </row>
    <row r="123">
      <c r="A123" s="5" t="inlineStr">
        <is>
          <t>EP06</t>
        </is>
      </c>
      <c r="B123" s="5" t="inlineStr">
        <is>
          <t>EP06-US03</t>
        </is>
      </c>
      <c r="C123" s="5" t="inlineStr">
        <is>
          <t>Aptitudes: aptitudes necesarias para tomar la carrera.</t>
        </is>
      </c>
      <c r="D123" s="6" t="n">
        <v>5</v>
      </c>
    </row>
    <row r="124">
      <c r="A124" s="5" t="inlineStr">
        <is>
          <t>EP06</t>
        </is>
      </c>
      <c r="B124" s="5" t="inlineStr">
        <is>
          <t>EP06-US03</t>
        </is>
      </c>
      <c r="C124" s="5" t="inlineStr">
        <is>
          <t>Pensum: cursos que se siguen en la carrera.</t>
        </is>
      </c>
      <c r="D124" s="6" t="n">
        <v>5</v>
      </c>
    </row>
    <row r="125">
      <c r="A125" s="5" t="inlineStr">
        <is>
          <t>EP06</t>
        </is>
      </c>
      <c r="B125" s="5" t="inlineStr">
        <is>
          <t>EP06-US03</t>
        </is>
      </c>
      <c r="C125" s="5" t="inlineStr">
        <is>
          <t>Campo Laboral: trabajos que puedes desempeñar y qué harás en el campo laboral.</t>
        </is>
      </c>
      <c r="D125" s="6" t="n">
        <v>5</v>
      </c>
    </row>
    <row r="126">
      <c r="A126" s="5" t="inlineStr">
        <is>
          <t>EP06</t>
        </is>
      </c>
      <c r="B126" s="5" t="inlineStr">
        <is>
          <t>EP06-US04</t>
        </is>
      </c>
      <c r="C126" s="5" t="inlineStr">
        <is>
          <t>Diseñar e implementar una base de datos basada en grafos para almacenar carreras y relaciones.</t>
        </is>
      </c>
      <c r="D126" s="6" t="n">
        <v>11</v>
      </c>
    </row>
    <row r="127">
      <c r="A127" s="5" t="inlineStr">
        <is>
          <t>EP06</t>
        </is>
      </c>
      <c r="B127" s="5" t="inlineStr">
        <is>
          <t>EP06-US04</t>
        </is>
      </c>
      <c r="C127" s="5" t="inlineStr">
        <is>
          <t>Desarrollar un endpoint de consulta de carreras relacionadas con justificación de la relación.</t>
        </is>
      </c>
      <c r="D127" s="6" t="n">
        <v>10</v>
      </c>
    </row>
    <row r="128">
      <c r="A128" s="5" t="inlineStr">
        <is>
          <t>EP06</t>
        </is>
      </c>
      <c r="B128" s="5" t="inlineStr">
        <is>
          <t>EP06-US04</t>
        </is>
      </c>
      <c r="C128" s="5" t="inlineStr">
        <is>
          <t>Implementar una interfaz con sección 'Carreras relacionadas' con listado vinculado.</t>
        </is>
      </c>
      <c r="D128" s="6" t="n">
        <v>8</v>
      </c>
    </row>
    <row r="129">
      <c r="A129" s="5" t="inlineStr">
        <is>
          <t>EP06</t>
        </is>
      </c>
      <c r="B129" s="5" t="inlineStr">
        <is>
          <t>EP06-US05</t>
        </is>
      </c>
      <c r="C129" s="5" t="inlineStr">
        <is>
          <t>Crear consultas que calculen estadísticas de recomendaciones por carrera.</t>
        </is>
      </c>
      <c r="D129" s="6" t="n">
        <v>7</v>
      </c>
    </row>
    <row r="130">
      <c r="A130" s="5" t="inlineStr">
        <is>
          <t>EP06</t>
        </is>
      </c>
      <c r="B130" s="5" t="inlineStr">
        <is>
          <t>EP06-US05</t>
        </is>
      </c>
      <c r="C130" s="5" t="inlineStr">
        <is>
          <t>Desarrollar un endpoint que permita obtener estadísticas de cada carrera.</t>
        </is>
      </c>
      <c r="D130" s="6" t="n">
        <v>6</v>
      </c>
    </row>
    <row r="131">
      <c r="A131" s="5" t="inlineStr">
        <is>
          <t>EP06</t>
        </is>
      </c>
      <c r="B131" s="5" t="inlineStr">
        <is>
          <t>EP06-US05</t>
        </is>
      </c>
      <c r="C131" s="5" t="inlineStr">
        <is>
          <t>Implementar una interfaz de administración que muestre métricas como número de recomendaciones y afinidad promedio.</t>
        </is>
      </c>
      <c r="D131" s="6" t="n">
        <v>8</v>
      </c>
    </row>
    <row r="132">
      <c r="A132" s="5" t="inlineStr">
        <is>
          <t>EP06</t>
        </is>
      </c>
      <c r="B132" s="5" t="inlineStr">
        <is>
          <t>EP06-US06</t>
        </is>
      </c>
      <c r="C132" s="5" t="inlineStr">
        <is>
          <t>Crear una función que obtenga los perfiles asociados a cada carrera recomendada.</t>
        </is>
      </c>
      <c r="D132" s="6" t="n">
        <v>7</v>
      </c>
    </row>
    <row r="133">
      <c r="A133" s="5" t="inlineStr">
        <is>
          <t>EP06</t>
        </is>
      </c>
      <c r="B133" s="5" t="inlineStr">
        <is>
          <t>EP06-US06</t>
        </is>
      </c>
      <c r="C133" s="5" t="inlineStr">
        <is>
          <t>Desarrollar un endpoint que permita consultar los perfiles relacionados con una carrera.</t>
        </is>
      </c>
      <c r="D133" s="6" t="n">
        <v>6</v>
      </c>
    </row>
    <row r="134">
      <c r="A134" s="5" t="inlineStr">
        <is>
          <t>EP06</t>
        </is>
      </c>
      <c r="B134" s="5" t="inlineStr">
        <is>
          <t>EP06-US06</t>
        </is>
      </c>
      <c r="C134" s="5" t="inlineStr">
        <is>
          <t>Implementar lógica que clasifique perfiles como potenciales estudiantes según nivel de afinidad.</t>
        </is>
      </c>
      <c r="D134" s="6" t="n">
        <v>7</v>
      </c>
    </row>
    <row r="135">
      <c r="A135" s="5" t="inlineStr">
        <is>
          <t>EP06</t>
        </is>
      </c>
      <c r="B135" s="5" t="inlineStr">
        <is>
          <t>EP06-US06</t>
        </is>
      </c>
      <c r="C135" s="5" t="inlineStr">
        <is>
          <t>Diseñar una interfaz de administración que muestre los perfiles y sus características principales.</t>
        </is>
      </c>
      <c r="D135" s="6" t="n">
        <v>7</v>
      </c>
    </row>
    <row r="136">
      <c r="C136" s="11" t="inlineStr">
        <is>
          <t>Total días</t>
        </is>
      </c>
      <c r="D136" s="17">
        <f>SUM(D3:D135)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2026-05-17T13:27:00Z</dcterms:created>
  <dcterms:modified xmlns:dcterms="http://purl.org/dc/terms/" xmlns:xsi="http://www.w3.org/2001/XMLSchema-instance" xsi:type="dcterms:W3CDTF">2026-05-17T13:27:00Z</dcterms:modified>
</cp:coreProperties>
</file>